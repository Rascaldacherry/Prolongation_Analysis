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imav\OneDrive\Desktop\Job\"/>
    </mc:Choice>
  </mc:AlternateContent>
  <xr:revisionPtr revIDLastSave="0" documentId="8_{8A6D14CC-1013-4537-A2D1-AE0431D506D7}" xr6:coauthVersionLast="47" xr6:coauthVersionMax="47" xr10:uidLastSave="{00000000-0000-0000-0000-000000000000}"/>
  <bookViews>
    <workbookView xWindow="-98" yWindow="-98" windowWidth="21795" windowHeight="13875" xr2:uid="{00000000-000D-0000-FFFF-FFFF00000000}"/>
  </bookViews>
  <sheets>
    <sheet name="Dashboard" sheetId="2" r:id="rId1"/>
    <sheet name="M1" sheetId="3" r:id="rId2"/>
    <sheet name="M2" sheetId="4" r:id="rId3"/>
    <sheet name="Main" sheetId="5" r:id="rId4"/>
  </sheets>
  <definedNames>
    <definedName name="_xlnm._FilterDatabase" localSheetId="0" hidden="1">Dashboard!$A$22:$F$22</definedName>
    <definedName name="Slicer_Коэффициент">#N/A</definedName>
    <definedName name="Slicer_Месяц_отчета">#N/A</definedName>
  </definedNames>
  <calcPr calcId="191029" iterateDelta="1E-4"/>
  <pivotCaches>
    <pivotCache cacheId="15" r:id="rId5"/>
  </pivotCaches>
  <fileRecoveryPr repairLoad="1"/>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3" i="2" l="1"/>
  <c r="I241" i="5"/>
  <c r="H241" i="5"/>
  <c r="I240" i="5"/>
  <c r="H240" i="5"/>
  <c r="I239" i="5"/>
  <c r="H239" i="5"/>
  <c r="I238" i="5"/>
  <c r="H238" i="5"/>
  <c r="I237" i="5"/>
  <c r="H237" i="5"/>
  <c r="I236" i="5"/>
  <c r="H236" i="5"/>
  <c r="I235" i="5"/>
  <c r="H235" i="5"/>
  <c r="I234" i="5"/>
  <c r="H234" i="5"/>
  <c r="I233" i="5"/>
  <c r="H233" i="5"/>
  <c r="I232" i="5"/>
  <c r="H232" i="5"/>
  <c r="I231" i="5"/>
  <c r="H231" i="5"/>
  <c r="I230" i="5"/>
  <c r="H230" i="5"/>
  <c r="I229" i="5"/>
  <c r="H229" i="5"/>
  <c r="I228" i="5"/>
  <c r="H228" i="5"/>
  <c r="I227" i="5"/>
  <c r="H227" i="5"/>
  <c r="I226" i="5"/>
  <c r="H226" i="5"/>
  <c r="I225" i="5"/>
  <c r="H225" i="5"/>
  <c r="I224" i="5"/>
  <c r="H224" i="5"/>
  <c r="I223" i="5"/>
  <c r="H223" i="5"/>
  <c r="I222" i="5"/>
  <c r="H222" i="5"/>
  <c r="I221" i="5"/>
  <c r="H221" i="5"/>
  <c r="I220" i="5"/>
  <c r="H220" i="5"/>
  <c r="I219" i="5"/>
  <c r="H219" i="5"/>
  <c r="I218" i="5"/>
  <c r="H218" i="5"/>
  <c r="I217" i="5"/>
  <c r="H217" i="5"/>
  <c r="I216" i="5"/>
  <c r="H216" i="5"/>
  <c r="I215" i="5"/>
  <c r="H215" i="5"/>
  <c r="I214" i="5"/>
  <c r="H214" i="5"/>
  <c r="I213" i="5"/>
  <c r="H213" i="5"/>
  <c r="I212" i="5"/>
  <c r="H212" i="5"/>
  <c r="I211" i="5"/>
  <c r="H211" i="5"/>
  <c r="I210" i="5"/>
  <c r="H210" i="5"/>
  <c r="I209" i="5"/>
  <c r="H209" i="5"/>
  <c r="I208" i="5"/>
  <c r="H208" i="5"/>
  <c r="I207" i="5"/>
  <c r="H207" i="5"/>
  <c r="I206" i="5"/>
  <c r="H206" i="5"/>
  <c r="I205" i="5"/>
  <c r="H205" i="5"/>
  <c r="I204" i="5"/>
  <c r="H204" i="5"/>
  <c r="I203" i="5"/>
  <c r="H203" i="5"/>
  <c r="I202" i="5"/>
  <c r="H202" i="5"/>
  <c r="I201" i="5"/>
  <c r="H201" i="5"/>
  <c r="I200" i="5"/>
  <c r="H200" i="5"/>
  <c r="I199" i="5"/>
  <c r="H199" i="5"/>
  <c r="I198" i="5"/>
  <c r="H198" i="5"/>
  <c r="I197" i="5"/>
  <c r="H197" i="5"/>
  <c r="I196" i="5"/>
  <c r="H196" i="5"/>
  <c r="I195" i="5"/>
  <c r="H195" i="5"/>
  <c r="I194" i="5"/>
  <c r="H194" i="5"/>
  <c r="I193" i="5"/>
  <c r="H193" i="5"/>
  <c r="I192" i="5"/>
  <c r="H192" i="5"/>
  <c r="I191" i="5"/>
  <c r="H191" i="5"/>
  <c r="I190" i="5"/>
  <c r="H190" i="5"/>
  <c r="I189" i="5"/>
  <c r="H189" i="5"/>
  <c r="I188" i="5"/>
  <c r="H188" i="5"/>
  <c r="I187" i="5"/>
  <c r="H187" i="5"/>
  <c r="I186" i="5"/>
  <c r="H186" i="5"/>
  <c r="I185" i="5"/>
  <c r="H185" i="5"/>
  <c r="I184" i="5"/>
  <c r="H184" i="5"/>
  <c r="I183" i="5"/>
  <c r="H183" i="5"/>
  <c r="I182" i="5"/>
  <c r="H182" i="5"/>
  <c r="I181" i="5"/>
  <c r="H181" i="5"/>
  <c r="I180" i="5"/>
  <c r="H180" i="5"/>
  <c r="I179" i="5"/>
  <c r="H179" i="5"/>
  <c r="I178" i="5"/>
  <c r="H178" i="5"/>
  <c r="I177" i="5"/>
  <c r="H177" i="5"/>
  <c r="I176" i="5"/>
  <c r="H176" i="5"/>
  <c r="I175" i="5"/>
  <c r="H175" i="5"/>
  <c r="I174" i="5"/>
  <c r="H174" i="5"/>
  <c r="I173" i="5"/>
  <c r="H173" i="5"/>
  <c r="I172" i="5"/>
  <c r="H172" i="5"/>
  <c r="I171" i="5"/>
  <c r="H171" i="5"/>
  <c r="I170" i="5"/>
  <c r="H170" i="5"/>
  <c r="I169" i="5"/>
  <c r="H169" i="5"/>
  <c r="I168" i="5"/>
  <c r="H168" i="5"/>
  <c r="I167" i="5"/>
  <c r="H167" i="5"/>
  <c r="I166" i="5"/>
  <c r="H166" i="5"/>
  <c r="I165" i="5"/>
  <c r="H165" i="5"/>
  <c r="I164" i="5"/>
  <c r="H164" i="5"/>
  <c r="I163" i="5"/>
  <c r="H163" i="5"/>
  <c r="I162" i="5"/>
  <c r="H162" i="5"/>
  <c r="I161" i="5"/>
  <c r="H161" i="5"/>
  <c r="I160" i="5"/>
  <c r="H160" i="5"/>
  <c r="I159" i="5"/>
  <c r="H159" i="5"/>
  <c r="I158" i="5"/>
  <c r="H158" i="5"/>
  <c r="I157" i="5"/>
  <c r="H157" i="5"/>
  <c r="I156" i="5"/>
  <c r="H156" i="5"/>
  <c r="I155" i="5"/>
  <c r="H155" i="5"/>
  <c r="I154" i="5"/>
  <c r="H154" i="5"/>
  <c r="I153" i="5"/>
  <c r="H153" i="5"/>
  <c r="I152" i="5"/>
  <c r="H152" i="5"/>
  <c r="I151" i="5"/>
  <c r="H151" i="5"/>
  <c r="I150" i="5"/>
  <c r="H150" i="5"/>
  <c r="I149" i="5"/>
  <c r="H149" i="5"/>
  <c r="I148" i="5"/>
  <c r="H148" i="5"/>
  <c r="I147" i="5"/>
  <c r="H147" i="5"/>
  <c r="I146" i="5"/>
  <c r="H146" i="5"/>
  <c r="I145" i="5"/>
  <c r="H145" i="5"/>
  <c r="I144" i="5"/>
  <c r="H144" i="5"/>
  <c r="I143" i="5"/>
  <c r="H143" i="5"/>
  <c r="I142" i="5"/>
  <c r="H142" i="5"/>
  <c r="I141" i="5"/>
  <c r="H141" i="5"/>
  <c r="I140" i="5"/>
  <c r="H140" i="5"/>
  <c r="I139" i="5"/>
  <c r="H139" i="5"/>
  <c r="I138" i="5"/>
  <c r="H138" i="5"/>
  <c r="I137" i="5"/>
  <c r="H137" i="5"/>
  <c r="I136" i="5"/>
  <c r="H136" i="5"/>
  <c r="I135" i="5"/>
  <c r="H135" i="5"/>
  <c r="I134" i="5"/>
  <c r="H134" i="5"/>
  <c r="I133" i="5"/>
  <c r="H133" i="5"/>
  <c r="I132" i="5"/>
  <c r="H132" i="5"/>
  <c r="I131" i="5"/>
  <c r="H131" i="5"/>
  <c r="I130" i="5"/>
  <c r="H130" i="5"/>
  <c r="I129" i="5"/>
  <c r="H129" i="5"/>
  <c r="I128" i="5"/>
  <c r="H128" i="5"/>
  <c r="I127" i="5"/>
  <c r="H127" i="5"/>
  <c r="I126" i="5"/>
  <c r="H126" i="5"/>
  <c r="I125" i="5"/>
  <c r="H125" i="5"/>
  <c r="I124" i="5"/>
  <c r="H124" i="5"/>
  <c r="I123" i="5"/>
  <c r="H123" i="5"/>
  <c r="I122" i="5"/>
  <c r="H122" i="5"/>
  <c r="I121" i="5"/>
  <c r="H121" i="5"/>
  <c r="I120" i="5"/>
  <c r="H120" i="5"/>
  <c r="I119" i="5"/>
  <c r="H119" i="5"/>
  <c r="I118" i="5"/>
  <c r="H118" i="5"/>
  <c r="I117" i="5"/>
  <c r="H117" i="5"/>
  <c r="I116" i="5"/>
  <c r="H116" i="5"/>
  <c r="I115" i="5"/>
  <c r="H115" i="5"/>
  <c r="I114" i="5"/>
  <c r="H114" i="5"/>
  <c r="I113" i="5"/>
  <c r="H113" i="5"/>
  <c r="I112" i="5"/>
  <c r="H112" i="5"/>
  <c r="I111" i="5"/>
  <c r="H111" i="5"/>
  <c r="I110" i="5"/>
  <c r="H110" i="5"/>
  <c r="I109" i="5"/>
  <c r="H109" i="5"/>
  <c r="I108" i="5"/>
  <c r="H108" i="5"/>
  <c r="I107" i="5"/>
  <c r="H107" i="5"/>
  <c r="I106" i="5"/>
  <c r="H106" i="5"/>
  <c r="I105" i="5"/>
  <c r="H105" i="5"/>
  <c r="I104" i="5"/>
  <c r="H104" i="5"/>
  <c r="I103" i="5"/>
  <c r="H103" i="5"/>
  <c r="I102" i="5"/>
  <c r="H102" i="5"/>
  <c r="I101" i="5"/>
  <c r="H101" i="5"/>
  <c r="I100" i="5"/>
  <c r="H100" i="5"/>
  <c r="I99" i="5"/>
  <c r="H99" i="5"/>
  <c r="I98" i="5"/>
  <c r="H98" i="5"/>
  <c r="I97" i="5"/>
  <c r="H97" i="5"/>
  <c r="I96" i="5"/>
  <c r="H96" i="5"/>
  <c r="I95" i="5"/>
  <c r="H95" i="5"/>
  <c r="I94" i="5"/>
  <c r="H94" i="5"/>
  <c r="I93" i="5"/>
  <c r="H93" i="5"/>
  <c r="I92" i="5"/>
  <c r="H92" i="5"/>
  <c r="I91" i="5"/>
  <c r="H91" i="5"/>
  <c r="I90" i="5"/>
  <c r="H90" i="5"/>
  <c r="I89" i="5"/>
  <c r="H89" i="5"/>
  <c r="I88" i="5"/>
  <c r="H88" i="5"/>
  <c r="I87" i="5"/>
  <c r="H87" i="5"/>
  <c r="I86" i="5"/>
  <c r="H86" i="5"/>
  <c r="I85" i="5"/>
  <c r="H85" i="5"/>
  <c r="I84" i="5"/>
  <c r="H84" i="5"/>
  <c r="I83" i="5"/>
  <c r="H83" i="5"/>
  <c r="I82" i="5"/>
  <c r="H82" i="5"/>
  <c r="I81" i="5"/>
  <c r="H81" i="5"/>
  <c r="I80" i="5"/>
  <c r="H80" i="5"/>
  <c r="I79" i="5"/>
  <c r="H79" i="5"/>
  <c r="I78" i="5"/>
  <c r="H78" i="5"/>
  <c r="I77" i="5"/>
  <c r="H77" i="5"/>
  <c r="I76" i="5"/>
  <c r="H76" i="5"/>
  <c r="I75" i="5"/>
  <c r="H75" i="5"/>
  <c r="I74" i="5"/>
  <c r="H74" i="5"/>
  <c r="I73" i="5"/>
  <c r="H73" i="5"/>
  <c r="I72" i="5"/>
  <c r="H72" i="5"/>
  <c r="I71" i="5"/>
  <c r="H71" i="5"/>
  <c r="I70" i="5"/>
  <c r="H70" i="5"/>
  <c r="I69" i="5"/>
  <c r="H69" i="5"/>
  <c r="I68" i="5"/>
  <c r="H68" i="5"/>
  <c r="I67" i="5"/>
  <c r="H67" i="5"/>
  <c r="I66" i="5"/>
  <c r="H66" i="5"/>
  <c r="I65" i="5"/>
  <c r="H65" i="5"/>
  <c r="I64" i="5"/>
  <c r="H64" i="5"/>
  <c r="I63" i="5"/>
  <c r="H63" i="5"/>
  <c r="I62" i="5"/>
  <c r="H62" i="5"/>
  <c r="I61" i="5"/>
  <c r="H61" i="5"/>
  <c r="I60" i="5"/>
  <c r="H60" i="5"/>
  <c r="I59" i="5"/>
  <c r="H59" i="5"/>
  <c r="I58" i="5"/>
  <c r="H58" i="5"/>
  <c r="I57" i="5"/>
  <c r="H57" i="5"/>
  <c r="I56" i="5"/>
  <c r="H56" i="5"/>
  <c r="I55" i="5"/>
  <c r="H55" i="5"/>
  <c r="I54" i="5"/>
  <c r="H54" i="5"/>
  <c r="I53" i="5"/>
  <c r="H53" i="5"/>
  <c r="I52" i="5"/>
  <c r="H52" i="5"/>
  <c r="I51" i="5"/>
  <c r="H51" i="5"/>
  <c r="I50" i="5"/>
  <c r="H50" i="5"/>
  <c r="I49" i="5"/>
  <c r="H49" i="5"/>
  <c r="I48" i="5"/>
  <c r="H48" i="5"/>
  <c r="I47" i="5"/>
  <c r="H47" i="5"/>
  <c r="I46" i="5"/>
  <c r="H46" i="5"/>
  <c r="I45" i="5"/>
  <c r="H45" i="5"/>
  <c r="I44" i="5"/>
  <c r="H44" i="5"/>
  <c r="I43" i="5"/>
  <c r="H43" i="5"/>
  <c r="I42" i="5"/>
  <c r="H42" i="5"/>
  <c r="I41" i="5"/>
  <c r="H41" i="5"/>
  <c r="I40" i="5"/>
  <c r="H40" i="5"/>
  <c r="I39" i="5"/>
  <c r="H39" i="5"/>
  <c r="I38" i="5"/>
  <c r="H38" i="5"/>
  <c r="I37" i="5"/>
  <c r="H37" i="5"/>
  <c r="I36" i="5"/>
  <c r="H36" i="5"/>
  <c r="I35" i="5"/>
  <c r="H35" i="5"/>
  <c r="I34" i="5"/>
  <c r="H34" i="5"/>
  <c r="I33" i="5"/>
  <c r="H33" i="5"/>
  <c r="I32" i="5"/>
  <c r="H32" i="5"/>
  <c r="I31" i="5"/>
  <c r="H31" i="5"/>
  <c r="I30" i="5"/>
  <c r="H30" i="5"/>
  <c r="I29" i="5"/>
  <c r="H29" i="5"/>
  <c r="I28" i="5"/>
  <c r="H28" i="5"/>
  <c r="I27" i="5"/>
  <c r="H27" i="5"/>
  <c r="I26" i="5"/>
  <c r="H26" i="5"/>
  <c r="I25" i="5"/>
  <c r="H25" i="5"/>
  <c r="I24" i="5"/>
  <c r="H24" i="5"/>
  <c r="I23" i="5"/>
  <c r="H23" i="5"/>
  <c r="I22" i="5"/>
  <c r="H22" i="5"/>
  <c r="I21" i="5"/>
  <c r="H21" i="5"/>
  <c r="I20" i="5"/>
  <c r="H20" i="5"/>
  <c r="I19" i="5"/>
  <c r="H19" i="5"/>
  <c r="I18" i="5"/>
  <c r="H18" i="5"/>
  <c r="I17" i="5"/>
  <c r="H17" i="5"/>
  <c r="I16" i="5"/>
  <c r="H16" i="5"/>
  <c r="I15" i="5"/>
  <c r="H15" i="5"/>
  <c r="I14" i="5"/>
  <c r="H14" i="5"/>
  <c r="I13" i="5"/>
  <c r="H13" i="5"/>
  <c r="I12" i="5"/>
  <c r="H12" i="5"/>
  <c r="I11" i="5"/>
  <c r="H11" i="5"/>
  <c r="I10" i="5"/>
  <c r="H10" i="5"/>
  <c r="I9" i="5"/>
  <c r="H9" i="5"/>
  <c r="I8" i="5"/>
  <c r="H8" i="5"/>
  <c r="I7" i="5"/>
  <c r="H7" i="5"/>
  <c r="I6" i="5"/>
  <c r="H6" i="5"/>
  <c r="I5" i="5"/>
  <c r="H5" i="5"/>
  <c r="I4" i="5"/>
  <c r="H4" i="5"/>
  <c r="I3" i="5"/>
  <c r="H3" i="5"/>
  <c r="I2" i="5"/>
  <c r="H2" i="5"/>
  <c r="A30" i="2"/>
  <c r="A29" i="2"/>
  <c r="A28" i="2"/>
  <c r="A27" i="2"/>
  <c r="A26" i="2"/>
  <c r="A25" i="2"/>
  <c r="A24" i="2"/>
  <c r="A31" i="2" s="1"/>
  <c r="A23" i="2"/>
  <c r="H133" i="4" l="1"/>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G16" i="4"/>
  <c r="H15" i="4"/>
  <c r="G15" i="4"/>
  <c r="H14" i="4"/>
  <c r="G14" i="4"/>
  <c r="H13" i="4"/>
  <c r="G13" i="4"/>
  <c r="H12" i="4"/>
  <c r="G12" i="4"/>
  <c r="H11" i="4"/>
  <c r="G11" i="4"/>
  <c r="H10" i="4"/>
  <c r="G10" i="4"/>
  <c r="H9" i="4"/>
  <c r="G9" i="4"/>
  <c r="H8" i="4"/>
  <c r="G8" i="4"/>
  <c r="H7" i="4"/>
  <c r="G7" i="4"/>
  <c r="H6" i="4"/>
  <c r="G6" i="4"/>
  <c r="H5" i="4"/>
  <c r="G5" i="4"/>
  <c r="H4" i="4"/>
  <c r="G4" i="4"/>
  <c r="H3" i="4"/>
  <c r="G3" i="4"/>
  <c r="H2" i="4"/>
  <c r="G2" i="4"/>
  <c r="H133" i="3"/>
  <c r="G133" i="3"/>
  <c r="H132" i="3"/>
  <c r="G132" i="3"/>
  <c r="H131" i="3"/>
  <c r="G131" i="3"/>
  <c r="H130" i="3"/>
  <c r="G130" i="3"/>
  <c r="H129" i="3"/>
  <c r="G129" i="3"/>
  <c r="H128" i="3"/>
  <c r="G128" i="3"/>
  <c r="H127" i="3"/>
  <c r="G127" i="3"/>
  <c r="H126" i="3"/>
  <c r="G126" i="3"/>
  <c r="H125" i="3"/>
  <c r="G125" i="3"/>
  <c r="H124" i="3"/>
  <c r="G124" i="3"/>
  <c r="H123" i="3"/>
  <c r="G123" i="3"/>
  <c r="H122" i="3"/>
  <c r="G122" i="3"/>
  <c r="H121" i="3"/>
  <c r="G121" i="3"/>
  <c r="H120" i="3"/>
  <c r="G120" i="3"/>
  <c r="H119" i="3"/>
  <c r="G119" i="3"/>
  <c r="H118" i="3"/>
  <c r="G118" i="3"/>
  <c r="H117" i="3"/>
  <c r="G117" i="3"/>
  <c r="H116" i="3"/>
  <c r="G116" i="3"/>
  <c r="H115" i="3"/>
  <c r="G115" i="3"/>
  <c r="H114" i="3"/>
  <c r="G114" i="3"/>
  <c r="H113" i="3"/>
  <c r="G113" i="3"/>
  <c r="H112" i="3"/>
  <c r="G112" i="3"/>
  <c r="H111" i="3"/>
  <c r="G111" i="3"/>
  <c r="H110" i="3"/>
  <c r="G110" i="3"/>
  <c r="H109" i="3"/>
  <c r="G109" i="3"/>
  <c r="H108" i="3"/>
  <c r="G108" i="3"/>
  <c r="H107" i="3"/>
  <c r="G107" i="3"/>
  <c r="H106" i="3"/>
  <c r="G106" i="3"/>
  <c r="H105" i="3"/>
  <c r="G105" i="3"/>
  <c r="H104" i="3"/>
  <c r="G104" i="3"/>
  <c r="H103" i="3"/>
  <c r="G103" i="3"/>
  <c r="H102" i="3"/>
  <c r="G102" i="3"/>
  <c r="H101" i="3"/>
  <c r="G101" i="3"/>
  <c r="H100" i="3"/>
  <c r="G100" i="3"/>
  <c r="H99" i="3"/>
  <c r="G99" i="3"/>
  <c r="H98" i="3"/>
  <c r="G98" i="3"/>
  <c r="H97" i="3"/>
  <c r="G97" i="3"/>
  <c r="H96" i="3"/>
  <c r="G96" i="3"/>
  <c r="H95" i="3"/>
  <c r="G95" i="3"/>
  <c r="H94" i="3"/>
  <c r="G94" i="3"/>
  <c r="H93" i="3"/>
  <c r="G93" i="3"/>
  <c r="H92" i="3"/>
  <c r="G92" i="3"/>
  <c r="H91" i="3"/>
  <c r="G91" i="3"/>
  <c r="H90" i="3"/>
  <c r="G90" i="3"/>
  <c r="H89" i="3"/>
  <c r="G89" i="3"/>
  <c r="H88" i="3"/>
  <c r="G88" i="3"/>
  <c r="H87" i="3"/>
  <c r="G87" i="3"/>
  <c r="H86" i="3"/>
  <c r="G86" i="3"/>
  <c r="H85" i="3"/>
  <c r="G85" i="3"/>
  <c r="H84" i="3"/>
  <c r="G84" i="3"/>
  <c r="H83" i="3"/>
  <c r="G83" i="3"/>
  <c r="H82" i="3"/>
  <c r="G82" i="3"/>
  <c r="H81" i="3"/>
  <c r="G81" i="3"/>
  <c r="H80" i="3"/>
  <c r="G80" i="3"/>
  <c r="H79" i="3"/>
  <c r="G79" i="3"/>
  <c r="H78" i="3"/>
  <c r="G78" i="3"/>
  <c r="H77" i="3"/>
  <c r="G77" i="3"/>
  <c r="H76" i="3"/>
  <c r="G76" i="3"/>
  <c r="H75" i="3"/>
  <c r="G75" i="3"/>
  <c r="H74" i="3"/>
  <c r="G74" i="3"/>
  <c r="H73" i="3"/>
  <c r="G73" i="3"/>
  <c r="H72" i="3"/>
  <c r="G72" i="3"/>
  <c r="H71" i="3"/>
  <c r="G71" i="3"/>
  <c r="H70" i="3"/>
  <c r="G70" i="3"/>
  <c r="H69" i="3"/>
  <c r="G69" i="3"/>
  <c r="H68" i="3"/>
  <c r="G68" i="3"/>
  <c r="H67" i="3"/>
  <c r="G67" i="3"/>
  <c r="H66" i="3"/>
  <c r="G66" i="3"/>
  <c r="H65" i="3"/>
  <c r="G65" i="3"/>
  <c r="H64" i="3"/>
  <c r="G64" i="3"/>
  <c r="H63" i="3"/>
  <c r="G63" i="3"/>
  <c r="H62" i="3"/>
  <c r="G62" i="3"/>
  <c r="H61" i="3"/>
  <c r="G61" i="3"/>
  <c r="H60" i="3"/>
  <c r="G60" i="3"/>
  <c r="H59" i="3"/>
  <c r="G59" i="3"/>
  <c r="H58" i="3"/>
  <c r="G58" i="3"/>
  <c r="H57" i="3"/>
  <c r="G57" i="3"/>
  <c r="H56" i="3"/>
  <c r="G56" i="3"/>
  <c r="H55" i="3"/>
  <c r="G55" i="3"/>
  <c r="H54" i="3"/>
  <c r="G54" i="3"/>
  <c r="H53" i="3"/>
  <c r="G53" i="3"/>
  <c r="H52" i="3"/>
  <c r="G52" i="3"/>
  <c r="H51" i="3"/>
  <c r="G51" i="3"/>
  <c r="H50" i="3"/>
  <c r="G50" i="3"/>
  <c r="H49" i="3"/>
  <c r="G49" i="3"/>
  <c r="H48" i="3"/>
  <c r="G48" i="3"/>
  <c r="H47" i="3"/>
  <c r="G47" i="3"/>
  <c r="H46" i="3"/>
  <c r="G46" i="3"/>
  <c r="H45" i="3"/>
  <c r="G45" i="3"/>
  <c r="H44" i="3"/>
  <c r="G44" i="3"/>
  <c r="H43" i="3"/>
  <c r="G43" i="3"/>
  <c r="H42" i="3"/>
  <c r="G42" i="3"/>
  <c r="H41" i="3"/>
  <c r="G41" i="3"/>
  <c r="H40" i="3"/>
  <c r="G40" i="3"/>
  <c r="H39" i="3"/>
  <c r="G39" i="3"/>
  <c r="H38" i="3"/>
  <c r="G38" i="3"/>
  <c r="H37" i="3"/>
  <c r="G37" i="3"/>
  <c r="H36" i="3"/>
  <c r="G36" i="3"/>
  <c r="H35" i="3"/>
  <c r="G35" i="3"/>
  <c r="H34" i="3"/>
  <c r="G34" i="3"/>
  <c r="H33" i="3"/>
  <c r="G33" i="3"/>
  <c r="H32" i="3"/>
  <c r="G32" i="3"/>
  <c r="H31" i="3"/>
  <c r="G31" i="3"/>
  <c r="H30" i="3"/>
  <c r="G30" i="3"/>
  <c r="H29" i="3"/>
  <c r="G29" i="3"/>
  <c r="H28" i="3"/>
  <c r="G28" i="3"/>
  <c r="H27" i="3"/>
  <c r="G27" i="3"/>
  <c r="H26" i="3"/>
  <c r="G26" i="3"/>
  <c r="H25" i="3"/>
  <c r="G25" i="3"/>
  <c r="H24" i="3"/>
  <c r="G24" i="3"/>
  <c r="H23" i="3"/>
  <c r="G23" i="3"/>
  <c r="H22" i="3"/>
  <c r="G22" i="3"/>
  <c r="H21" i="3"/>
  <c r="G21" i="3"/>
  <c r="H20" i="3"/>
  <c r="G20" i="3"/>
  <c r="H19" i="3"/>
  <c r="G19" i="3"/>
  <c r="H18" i="3"/>
  <c r="G18" i="3"/>
  <c r="H17" i="3"/>
  <c r="G17" i="3"/>
  <c r="H16" i="3"/>
  <c r="G16" i="3"/>
  <c r="H15" i="3"/>
  <c r="G15" i="3"/>
  <c r="H14" i="3"/>
  <c r="G14" i="3"/>
  <c r="H13" i="3"/>
  <c r="G13" i="3"/>
  <c r="H12" i="3"/>
  <c r="G12" i="3"/>
  <c r="H11" i="3"/>
  <c r="G11" i="3"/>
  <c r="H10" i="3"/>
  <c r="G10" i="3"/>
  <c r="H9" i="3"/>
  <c r="G9" i="3"/>
  <c r="H8" i="3"/>
  <c r="G8" i="3"/>
  <c r="H7" i="3"/>
  <c r="G7" i="3"/>
  <c r="H6" i="3"/>
  <c r="G6" i="3"/>
  <c r="H5" i="3"/>
  <c r="G5" i="3"/>
  <c r="H4" i="3"/>
  <c r="G4" i="3"/>
  <c r="H3" i="3"/>
  <c r="G3" i="3"/>
  <c r="H2" i="3"/>
  <c r="G2" i="3"/>
  <c r="K44" i="2"/>
  <c r="J44" i="2"/>
  <c r="I44" i="2"/>
  <c r="H44" i="2"/>
  <c r="D3" i="2" s="1"/>
  <c r="E44" i="2"/>
  <c r="D44" i="2"/>
  <c r="C44" i="2"/>
  <c r="B44" i="2"/>
  <c r="C3" i="2" s="1"/>
  <c r="K43" i="2"/>
  <c r="J43" i="2"/>
  <c r="I43" i="2"/>
  <c r="H43" i="2"/>
  <c r="E43" i="2"/>
  <c r="D43" i="2"/>
  <c r="C43" i="2"/>
  <c r="B43" i="2"/>
  <c r="K42" i="2"/>
  <c r="J42" i="2"/>
  <c r="E23" i="2" s="1"/>
  <c r="I42" i="2"/>
  <c r="H42" i="2"/>
  <c r="E42" i="2"/>
  <c r="N42" i="2" s="1"/>
  <c r="F23" i="2" s="1"/>
  <c r="D42" i="2"/>
  <c r="D23" i="2" s="1"/>
  <c r="C42" i="2"/>
  <c r="B42" i="2"/>
  <c r="K41" i="2"/>
  <c r="J41" i="2"/>
  <c r="E28" i="2" s="1"/>
  <c r="I41" i="2"/>
  <c r="H41" i="2"/>
  <c r="E41" i="2"/>
  <c r="D41" i="2"/>
  <c r="D28" i="2" s="1"/>
  <c r="C41" i="2"/>
  <c r="B41" i="2"/>
  <c r="K40" i="2"/>
  <c r="J40" i="2"/>
  <c r="E30" i="2" s="1"/>
  <c r="I40" i="2"/>
  <c r="H40" i="2"/>
  <c r="E40" i="2"/>
  <c r="D40" i="2"/>
  <c r="D30" i="2" s="1"/>
  <c r="C40" i="2"/>
  <c r="B40" i="2"/>
  <c r="K39" i="2"/>
  <c r="J39" i="2"/>
  <c r="E26" i="2" s="1"/>
  <c r="I39" i="2"/>
  <c r="H39" i="2"/>
  <c r="E39" i="2"/>
  <c r="D39" i="2"/>
  <c r="D26" i="2" s="1"/>
  <c r="C39" i="2"/>
  <c r="B39" i="2"/>
  <c r="K38" i="2"/>
  <c r="J38" i="2"/>
  <c r="E31" i="2" s="1"/>
  <c r="I38" i="2"/>
  <c r="H38" i="2"/>
  <c r="E38" i="2"/>
  <c r="N38" i="2" s="1"/>
  <c r="F31" i="2" s="1"/>
  <c r="D38" i="2"/>
  <c r="C38" i="2"/>
  <c r="B38" i="2"/>
  <c r="K37" i="2"/>
  <c r="J37" i="2"/>
  <c r="E29" i="2" s="1"/>
  <c r="I37" i="2"/>
  <c r="H37" i="2"/>
  <c r="E37" i="2"/>
  <c r="D37" i="2"/>
  <c r="D29" i="2" s="1"/>
  <c r="C37" i="2"/>
  <c r="B37" i="2"/>
  <c r="K36" i="2"/>
  <c r="J36" i="2"/>
  <c r="E25" i="2" s="1"/>
  <c r="I36" i="2"/>
  <c r="H36" i="2"/>
  <c r="E36" i="2"/>
  <c r="D36" i="2"/>
  <c r="D25" i="2" s="1"/>
  <c r="C36" i="2"/>
  <c r="B36" i="2"/>
  <c r="K35" i="2"/>
  <c r="J35" i="2"/>
  <c r="E24" i="2" s="1"/>
  <c r="I35" i="2"/>
  <c r="H35" i="2"/>
  <c r="E35" i="2"/>
  <c r="D35" i="2"/>
  <c r="D24" i="2" s="1"/>
  <c r="C35" i="2"/>
  <c r="B35" i="2"/>
  <c r="K34" i="2"/>
  <c r="J34" i="2"/>
  <c r="E27" i="2" s="1"/>
  <c r="I34" i="2"/>
  <c r="H34" i="2"/>
  <c r="E34" i="2"/>
  <c r="D34" i="2"/>
  <c r="D27" i="2" s="1"/>
  <c r="C34" i="2"/>
  <c r="B34" i="2"/>
  <c r="E19" i="2"/>
  <c r="D19" i="2"/>
  <c r="C19" i="2"/>
  <c r="B19" i="2"/>
  <c r="E18" i="2"/>
  <c r="D18" i="2"/>
  <c r="C18" i="2"/>
  <c r="B18" i="2"/>
  <c r="E17" i="2"/>
  <c r="D17" i="2"/>
  <c r="C17" i="2"/>
  <c r="B17" i="2"/>
  <c r="E16" i="2"/>
  <c r="D16" i="2"/>
  <c r="C16" i="2"/>
  <c r="B16" i="2"/>
  <c r="E15" i="2"/>
  <c r="D15" i="2"/>
  <c r="C15" i="2"/>
  <c r="B15" i="2"/>
  <c r="E14" i="2"/>
  <c r="D14" i="2"/>
  <c r="C14" i="2"/>
  <c r="B14" i="2"/>
  <c r="E13" i="2"/>
  <c r="D13" i="2"/>
  <c r="C13" i="2"/>
  <c r="B13" i="2"/>
  <c r="E12" i="2"/>
  <c r="D12" i="2"/>
  <c r="C12" i="2"/>
  <c r="B12" i="2"/>
  <c r="E11" i="2"/>
  <c r="D11" i="2"/>
  <c r="C11" i="2"/>
  <c r="B11" i="2"/>
  <c r="E10" i="2"/>
  <c r="D10" i="2"/>
  <c r="C10" i="2"/>
  <c r="B10" i="2"/>
  <c r="E9" i="2"/>
  <c r="D9" i="2"/>
  <c r="C9" i="2"/>
  <c r="B9" i="2"/>
  <c r="E8" i="2"/>
  <c r="D8" i="2"/>
  <c r="C8" i="2"/>
  <c r="B8" i="2"/>
  <c r="N35" i="2" l="1"/>
  <c r="F24" i="2" s="1"/>
  <c r="N44" i="2"/>
  <c r="F3" i="2" s="1"/>
  <c r="E3" i="2"/>
  <c r="D31" i="2"/>
  <c r="L43" i="2"/>
  <c r="G39" i="2"/>
  <c r="B26" i="2" s="1"/>
  <c r="L41" i="2"/>
  <c r="L39" i="2"/>
  <c r="L37" i="2"/>
  <c r="L35" i="2"/>
  <c r="F36" i="2"/>
  <c r="M43" i="2"/>
  <c r="M41" i="2"/>
  <c r="C28" i="2" s="1"/>
  <c r="F38" i="2"/>
  <c r="L44" i="2"/>
  <c r="L42" i="2"/>
  <c r="M44" i="2"/>
  <c r="B3" i="2" s="1"/>
  <c r="L38" i="2"/>
  <c r="M39" i="2"/>
  <c r="C26" i="2" s="1"/>
  <c r="M37" i="2"/>
  <c r="C29" i="2" s="1"/>
  <c r="L40" i="2"/>
  <c r="L34" i="2"/>
  <c r="L36" i="2"/>
  <c r="F37" i="2"/>
  <c r="G40" i="2"/>
  <c r="B30" i="2" s="1"/>
  <c r="G43" i="2"/>
  <c r="G41" i="2"/>
  <c r="B28" i="2" s="1"/>
  <c r="M34" i="2"/>
  <c r="C27" i="2" s="1"/>
  <c r="N34" i="2"/>
  <c r="F27" i="2" s="1"/>
  <c r="M36" i="2"/>
  <c r="C25" i="2" s="1"/>
  <c r="M38" i="2"/>
  <c r="C31" i="2" s="1"/>
  <c r="M40" i="2"/>
  <c r="C30" i="2" s="1"/>
  <c r="M42" i="2"/>
  <c r="C23" i="2" s="1"/>
  <c r="M35" i="2"/>
  <c r="C24" i="2" s="1"/>
  <c r="F40" i="2"/>
  <c r="F42" i="2"/>
  <c r="F44" i="2"/>
  <c r="F39" i="2"/>
  <c r="F41" i="2"/>
  <c r="F43" i="2"/>
  <c r="F35" i="2"/>
  <c r="F34" i="2"/>
  <c r="G34" i="2"/>
  <c r="B27" i="2" s="1"/>
  <c r="G37" i="2"/>
  <c r="B29" i="2" s="1"/>
  <c r="N40" i="2"/>
  <c r="F30" i="2" s="1"/>
  <c r="G36" i="2"/>
  <c r="B25" i="2" s="1"/>
  <c r="N37" i="2"/>
  <c r="F29" i="2" s="1"/>
  <c r="G44" i="2"/>
  <c r="A3" i="2" s="1"/>
  <c r="G38" i="2"/>
  <c r="B31" i="2" s="1"/>
  <c r="N39" i="2"/>
  <c r="F26" i="2" s="1"/>
  <c r="G35" i="2"/>
  <c r="B24" i="2" s="1"/>
  <c r="N36" i="2"/>
  <c r="F25" i="2" s="1"/>
  <c r="N41" i="2"/>
  <c r="F28" i="2" s="1"/>
  <c r="G42" i="2"/>
  <c r="N43" i="2"/>
</calcChain>
</file>

<file path=xl/sharedStrings.xml><?xml version="1.0" encoding="utf-8"?>
<sst xmlns="http://schemas.openxmlformats.org/spreadsheetml/2006/main" count="1379" uniqueCount="64">
  <si>
    <t>Ключевые KPI отдела</t>
  </si>
  <si>
    <t>Коэффициент M1, год</t>
  </si>
  <si>
    <t>Коэффициент M2, год</t>
  </si>
  <si>
    <t>Вернувшаяся выручка, ₽</t>
  </si>
  <si>
    <t>Продлено проектов всего</t>
  </si>
  <si>
    <t>Динамика отдела по месяцам</t>
  </si>
  <si>
    <t>Годовой рейтинг менеджеров</t>
  </si>
  <si>
    <t>Месяц</t>
  </si>
  <si>
    <t>M1 коэффициент</t>
  </si>
  <si>
    <t>M2 коэффициент</t>
  </si>
  <si>
    <t>M1 база, ₽</t>
  </si>
  <si>
    <t>M2 база, ₽</t>
  </si>
  <si>
    <t>Менеджер</t>
  </si>
  <si>
    <t>Январь 2023</t>
  </si>
  <si>
    <t>Февраль 2023</t>
  </si>
  <si>
    <t>Март 2023</t>
  </si>
  <si>
    <t>Апрель 2023</t>
  </si>
  <si>
    <t>Май 2023</t>
  </si>
  <si>
    <t>Июнь 2023</t>
  </si>
  <si>
    <t>Июль 2023</t>
  </si>
  <si>
    <t>Август 2023</t>
  </si>
  <si>
    <t>Сентябрь 2023</t>
  </si>
  <si>
    <t>Октябрь 2023</t>
  </si>
  <si>
    <t>Ноябрь 2023</t>
  </si>
  <si>
    <t>Декабрь 2023</t>
  </si>
  <si>
    <t>Месяц отчета</t>
  </si>
  <si>
    <t>Проектов в базе</t>
  </si>
  <si>
    <t>Продлено проектов</t>
  </si>
  <si>
    <t>Сумма базы, ₽</t>
  </si>
  <si>
    <t>Сумма пролонгаций, ₽</t>
  </si>
  <si>
    <t>Конверсия по проектам</t>
  </si>
  <si>
    <t>Коэффициент пролонгации</t>
  </si>
  <si>
    <t>Васильев Артем Александрович</t>
  </si>
  <si>
    <t>Иванова Мария Сергеевна</t>
  </si>
  <si>
    <t>Кузнецов Михаил Иванович</t>
  </si>
  <si>
    <t>Михайлов Андрей Сергеевич</t>
  </si>
  <si>
    <t>Петрова Анна Дмитриевна</t>
  </si>
  <si>
    <t>Попова Екатерина Николаевна</t>
  </si>
  <si>
    <t>Смирнова Ольга Владимировна</t>
  </si>
  <si>
    <t>Соколова Анастасия Викторовна</t>
  </si>
  <si>
    <t>Федорова Марина Васильевна</t>
  </si>
  <si>
    <t>без А/М</t>
  </si>
  <si>
    <t>ИТОГО ОТДЕЛ</t>
  </si>
  <si>
    <t>Всего вернувшаяся выручка, ₽</t>
  </si>
  <si>
    <t>Проектов M1</t>
  </si>
  <si>
    <t>Проектов M2</t>
  </si>
  <si>
    <t>M1</t>
  </si>
  <si>
    <t>M2</t>
  </si>
  <si>
    <t>M1 проектов в базе</t>
  </si>
  <si>
    <t>M1 продлено</t>
  </si>
  <si>
    <t>M1 сумма базы, ₽</t>
  </si>
  <si>
    <t>M1 сумма пролонгаций, ₽</t>
  </si>
  <si>
    <t>M1 конверсия</t>
  </si>
  <si>
    <t>M2 проектов в базе</t>
  </si>
  <si>
    <t>M2 продлено</t>
  </si>
  <si>
    <t>M2 сумма базы, ₽</t>
  </si>
  <si>
    <t>M2 сумма пролонгаций, ₽</t>
  </si>
  <si>
    <t>M2 конверсия</t>
  </si>
  <si>
    <t>Grand Total</t>
  </si>
  <si>
    <t>Коэффициент</t>
  </si>
  <si>
    <t>Sum of Сумма базы, ₽</t>
  </si>
  <si>
    <t>Sum of Сумма пролонгаций, ₽</t>
  </si>
  <si>
    <t>Total Sum of Сумма базы, ₽</t>
  </si>
  <si>
    <t>Total Sum of Сумма пролонгаций,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</si>
</sst>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_);[Red]\(#,##0.00\)"/>
  </numFmts>
  <fonts count="7" x14ac:knownFonts="1">
    <font>
      <sz val="11"/>
      <color theme="1"/>
      <name val="Calibri"/>
      <family val="2"/>
      <charset val="1"/>
    </font>
    <font>
      <b/>
      <sz val="11"/>
      <name val="Cambria"/>
      <family val="1"/>
      <charset val="204"/>
    </font>
    <font>
      <b/>
      <sz val="14"/>
      <color rgb="FF1F4E78"/>
      <name val="Cambria"/>
      <family val="1"/>
      <charset val="204"/>
    </font>
    <font>
      <b/>
      <sz val="16"/>
      <name val="Cambria"/>
      <family val="1"/>
      <charset val="204"/>
    </font>
    <font>
      <b/>
      <sz val="14"/>
      <name val="Cambria"/>
      <family val="1"/>
      <charset val="204"/>
    </font>
    <font>
      <b/>
      <sz val="18"/>
      <name val="Cambria"/>
      <family val="1"/>
      <charset val="204"/>
    </font>
    <font>
      <sz val="14"/>
      <color theme="1"/>
      <name val="Calibri"/>
      <family val="2"/>
      <charset val="204"/>
    </font>
  </fonts>
  <fills count="6">
    <fill>
      <patternFill patternType="none"/>
    </fill>
    <fill>
      <patternFill patternType="gray125"/>
    </fill>
    <fill>
      <patternFill patternType="solid">
        <fgColor rgb="FFDDEBF7"/>
        <bgColor rgb="FFD9EAF7"/>
      </patternFill>
    </fill>
    <fill>
      <patternFill patternType="solid">
        <fgColor rgb="FFD9EAF7"/>
        <bgColor rgb="FFDDEBF7"/>
      </patternFill>
    </fill>
    <fill>
      <patternFill patternType="solid">
        <fgColor rgb="FFE2F0D9"/>
        <bgColor rgb="FFDDEBF7"/>
      </patternFill>
    </fill>
    <fill>
      <patternFill patternType="solid">
        <fgColor theme="9" tint="0.79998168889431442"/>
        <bgColor rgb="FF003366"/>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5">
    <xf numFmtId="0" fontId="0" fillId="0" borderId="0" xfId="0"/>
    <xf numFmtId="165" fontId="0" fillId="0" borderId="0" xfId="0" applyNumberFormat="1"/>
    <xf numFmtId="0" fontId="0" fillId="0" borderId="1" xfId="0" applyBorder="1"/>
    <xf numFmtId="0" fontId="1" fillId="3" borderId="1" xfId="0" applyFont="1" applyFill="1" applyBorder="1" applyAlignment="1">
      <alignment horizontal="center" vertical="center" wrapText="1"/>
    </xf>
    <xf numFmtId="164" fontId="0" fillId="0" borderId="1" xfId="0" applyNumberFormat="1" applyBorder="1"/>
    <xf numFmtId="165" fontId="0" fillId="0" borderId="1" xfId="0" applyNumberFormat="1" applyBorder="1"/>
    <xf numFmtId="3" fontId="0" fillId="0" borderId="1" xfId="0" applyNumberFormat="1" applyBorder="1"/>
    <xf numFmtId="0" fontId="1" fillId="4" borderId="1" xfId="0" applyFont="1" applyFill="1" applyBorder="1"/>
    <xf numFmtId="3" fontId="1" fillId="4" borderId="1" xfId="0" applyNumberFormat="1" applyFont="1" applyFill="1" applyBorder="1"/>
    <xf numFmtId="165" fontId="1" fillId="4" borderId="1" xfId="0" applyNumberFormat="1" applyFont="1" applyFill="1" applyBorder="1"/>
    <xf numFmtId="164" fontId="1" fillId="4" borderId="1" xfId="0" applyNumberFormat="1" applyFont="1" applyFill="1" applyBorder="1"/>
    <xf numFmtId="0" fontId="3" fillId="5" borderId="2" xfId="0" applyFont="1" applyFill="1" applyBorder="1" applyAlignment="1">
      <alignment horizontal="center" vertical="center"/>
    </xf>
    <xf numFmtId="0" fontId="5" fillId="5" borderId="0" xfId="0" applyFont="1" applyFill="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0" borderId="1" xfId="0" applyFont="1" applyBorder="1" applyAlignment="1">
      <alignment horizontal="center"/>
    </xf>
    <xf numFmtId="164"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0" fontId="4" fillId="3" borderId="0" xfId="0" applyFont="1" applyFill="1" applyAlignment="1">
      <alignment horizontal="center" vertical="center" wrapText="1"/>
    </xf>
    <xf numFmtId="0" fontId="6" fillId="0" borderId="1" xfId="0" applyFont="1" applyBorder="1"/>
    <xf numFmtId="164" fontId="6" fillId="0" borderId="1" xfId="0" applyNumberFormat="1" applyFont="1" applyBorder="1"/>
    <xf numFmtId="165" fontId="6" fillId="0" borderId="1" xfId="0" applyNumberFormat="1" applyFont="1" applyBorder="1"/>
    <xf numFmtId="3" fontId="6" fillId="0" borderId="1" xfId="0" applyNumberFormat="1" applyFont="1" applyBorder="1"/>
    <xf numFmtId="0" fontId="4" fillId="4" borderId="1" xfId="0" applyFont="1" applyFill="1" applyBorder="1"/>
    <xf numFmtId="3" fontId="4" fillId="4" borderId="1" xfId="0" applyNumberFormat="1" applyFont="1" applyFill="1" applyBorder="1"/>
    <xf numFmtId="165" fontId="4" fillId="4" borderId="1" xfId="0" applyNumberFormat="1" applyFont="1" applyFill="1" applyBorder="1"/>
    <xf numFmtId="164" fontId="4" fillId="4" borderId="1" xfId="0" applyNumberFormat="1" applyFont="1" applyFill="1" applyBorder="1"/>
    <xf numFmtId="0" fontId="0" fillId="0" borderId="0" xfId="0" applyAlignment="1">
      <alignment horizontal="left"/>
    </xf>
    <xf numFmtId="0" fontId="4" fillId="2" borderId="1" xfId="0" applyFont="1" applyFill="1" applyBorder="1" applyAlignment="1">
      <alignment horizontal="center" vertical="center"/>
    </xf>
    <xf numFmtId="164"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xf>
    <xf numFmtId="165" fontId="2" fillId="0" borderId="1" xfId="0" applyNumberFormat="1" applyFont="1" applyBorder="1" applyAlignment="1">
      <alignment horizontal="center" vertical="center"/>
    </xf>
    <xf numFmtId="164" fontId="6" fillId="0" borderId="1" xfId="0" applyNumberFormat="1" applyFont="1" applyBorder="1" applyAlignment="1">
      <alignment horizontal="right" vertical="center"/>
    </xf>
    <xf numFmtId="165" fontId="6" fillId="0" borderId="1" xfId="0" applyNumberFormat="1" applyFont="1" applyBorder="1" applyAlignment="1">
      <alignment horizontal="right" vertical="center"/>
    </xf>
  </cellXfs>
  <cellStyles count="1">
    <cellStyle name="Normal" xfId="0" builtinId="0"/>
  </cellStyles>
  <dxfs count="36">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
      <font>
        <b/>
        <charset val="204"/>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BE4B48"/>
      <rgbColor rgb="FFF9F9F9"/>
      <rgbColor rgb="FFD9EAF7"/>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DDEBF7"/>
      <rgbColor rgb="FFE2F0D9"/>
      <rgbColor rgb="FFFFFF99"/>
      <rgbColor rgb="FF99CCFF"/>
      <rgbColor rgb="FFFF99CC"/>
      <rgbColor rgb="FFCC99FF"/>
      <rgbColor rgb="FFFCE4D6"/>
      <rgbColor rgb="FF4F81BD"/>
      <rgbColor rgb="FF33CCCC"/>
      <rgbColor rgb="FF99CC00"/>
      <rgbColor rgb="FFFFCC00"/>
      <rgbColor rgb="FFFF9900"/>
      <rgbColor rgb="FFFF6600"/>
      <rgbColor rgb="FF4A7EBB"/>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600" b="0" u="none" strike="noStrike">
                <a:solidFill>
                  <a:schemeClr val="bg1">
                    <a:lumMod val="50000"/>
                  </a:schemeClr>
                </a:solidFill>
                <a:uFillTx/>
                <a:latin typeface="Arial"/>
              </a:defRPr>
            </a:pPr>
            <a:r>
              <a:rPr lang="ru-RU" sz="1600" b="1" u="none" strike="noStrike">
                <a:solidFill>
                  <a:schemeClr val="tx1"/>
                </a:solidFill>
                <a:uFillTx/>
                <a:latin typeface="Calibri"/>
              </a:rPr>
              <a:t>Коэффициенты пролонгации отдела по месяцам</a:t>
            </a:r>
          </a:p>
        </c:rich>
      </c:tx>
      <c:layout>
        <c:manualLayout>
          <c:xMode val="edge"/>
          <c:yMode val="edge"/>
          <c:x val="9.9346295693348869E-3"/>
          <c:y val="1.0894940744104437E-2"/>
        </c:manualLayout>
      </c:layout>
      <c:overlay val="0"/>
      <c:spPr>
        <a:noFill/>
        <a:ln w="0">
          <a:noFill/>
        </a:ln>
      </c:spPr>
    </c:title>
    <c:autoTitleDeleted val="0"/>
    <c:plotArea>
      <c:layout>
        <c:manualLayout>
          <c:layoutTarget val="inner"/>
          <c:xMode val="edge"/>
          <c:yMode val="edge"/>
          <c:x val="9.3698130172755592E-2"/>
          <c:y val="0.12265043882876814"/>
          <c:w val="0.87536812757392901"/>
          <c:h val="0.68393462349258061"/>
        </c:manualLayout>
      </c:layout>
      <c:lineChart>
        <c:grouping val="standard"/>
        <c:varyColors val="0"/>
        <c:ser>
          <c:idx val="0"/>
          <c:order val="0"/>
          <c:tx>
            <c:strRef>
              <c:f>Dashboard!$B$7</c:f>
              <c:strCache>
                <c:ptCount val="1"/>
                <c:pt idx="0">
                  <c:v>M1</c:v>
                </c:pt>
              </c:strCache>
            </c:strRef>
          </c:tx>
          <c:spPr>
            <a:ln w="28440">
              <a:solidFill>
                <a:srgbClr val="4A7EBB"/>
              </a:solidFill>
              <a:round/>
            </a:ln>
          </c:spPr>
          <c:marker>
            <c:symbol val="none"/>
          </c:marker>
          <c:dLbls>
            <c:spPr>
              <a:noFill/>
              <a:ln>
                <a:noFill/>
              </a:ln>
              <a:effectLst/>
            </c:spPr>
            <c:txPr>
              <a:bodyPr wrap="none"/>
              <a:lstStyle/>
              <a:p>
                <a:pPr>
                  <a:defRPr sz="1000" b="0" u="none" strike="noStrike">
                    <a:uFillTx/>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440">
                      <a:solidFill>
                        <a:srgbClr val="000000"/>
                      </a:solidFill>
                    </a:ln>
                  </c:spPr>
                </c15:leaderLines>
              </c:ext>
            </c:extLst>
          </c:dLbls>
          <c:cat>
            <c:strRef>
              <c:f>Dashboard!$A$8:$A$19</c:f>
              <c:strCache>
                <c:ptCount val="12"/>
                <c:pt idx="0">
                  <c:v>Январь 2023</c:v>
                </c:pt>
                <c:pt idx="1">
                  <c:v>Февраль 2023</c:v>
                </c:pt>
                <c:pt idx="2">
                  <c:v>Март 2023</c:v>
                </c:pt>
                <c:pt idx="3">
                  <c:v>Апрель 2023</c:v>
                </c:pt>
                <c:pt idx="4">
                  <c:v>Май 2023</c:v>
                </c:pt>
                <c:pt idx="5">
                  <c:v>Июнь 2023</c:v>
                </c:pt>
                <c:pt idx="6">
                  <c:v>Июль 2023</c:v>
                </c:pt>
                <c:pt idx="7">
                  <c:v>Август 2023</c:v>
                </c:pt>
                <c:pt idx="8">
                  <c:v>Сентябрь 2023</c:v>
                </c:pt>
                <c:pt idx="9">
                  <c:v>Октябрь 2023</c:v>
                </c:pt>
                <c:pt idx="10">
                  <c:v>Ноябрь 2023</c:v>
                </c:pt>
                <c:pt idx="11">
                  <c:v>Декабрь 2023</c:v>
                </c:pt>
              </c:strCache>
            </c:strRef>
          </c:cat>
          <c:val>
            <c:numRef>
              <c:f>Dashboard!$B$8:$B$19</c:f>
              <c:numCache>
                <c:formatCode>0.0%</c:formatCode>
                <c:ptCount val="12"/>
                <c:pt idx="0">
                  <c:v>0.44715648238889327</c:v>
                </c:pt>
                <c:pt idx="1">
                  <c:v>0.73789301258436635</c:v>
                </c:pt>
                <c:pt idx="2">
                  <c:v>0.66957166226326936</c:v>
                </c:pt>
                <c:pt idx="3">
                  <c:v>0.50358130971552817</c:v>
                </c:pt>
                <c:pt idx="4">
                  <c:v>0.58022710503314923</c:v>
                </c:pt>
                <c:pt idx="5">
                  <c:v>0.26130676984008006</c:v>
                </c:pt>
                <c:pt idx="6">
                  <c:v>0.52948213275650291</c:v>
                </c:pt>
                <c:pt idx="7">
                  <c:v>0.48720696345385334</c:v>
                </c:pt>
                <c:pt idx="8">
                  <c:v>0.33513622005821442</c:v>
                </c:pt>
                <c:pt idx="9">
                  <c:v>0.81767756422994509</c:v>
                </c:pt>
                <c:pt idx="10">
                  <c:v>0.51788226676395732</c:v>
                </c:pt>
                <c:pt idx="11">
                  <c:v>0.54459542138602546</c:v>
                </c:pt>
              </c:numCache>
            </c:numRef>
          </c:val>
          <c:smooth val="1"/>
          <c:extLst>
            <c:ext xmlns:c16="http://schemas.microsoft.com/office/drawing/2014/chart" uri="{C3380CC4-5D6E-409C-BE32-E72D297353CC}">
              <c16:uniqueId val="{00000000-DAF7-41D5-84A4-775413B7A74A}"/>
            </c:ext>
          </c:extLst>
        </c:ser>
        <c:ser>
          <c:idx val="1"/>
          <c:order val="1"/>
          <c:tx>
            <c:strRef>
              <c:f>Dashboard!$C$7</c:f>
              <c:strCache>
                <c:ptCount val="1"/>
                <c:pt idx="0">
                  <c:v>M2</c:v>
                </c:pt>
              </c:strCache>
            </c:strRef>
          </c:tx>
          <c:spPr>
            <a:ln w="28440">
              <a:solidFill>
                <a:srgbClr val="BE4B48"/>
              </a:solidFill>
              <a:round/>
            </a:ln>
          </c:spPr>
          <c:marker>
            <c:symbol val="none"/>
          </c:marker>
          <c:dLbls>
            <c:spPr>
              <a:noFill/>
              <a:ln>
                <a:noFill/>
              </a:ln>
              <a:effectLst/>
            </c:spPr>
            <c:txPr>
              <a:bodyPr wrap="none"/>
              <a:lstStyle/>
              <a:p>
                <a:pPr>
                  <a:defRPr sz="1000" b="0" u="none" strike="noStrike">
                    <a:uFillTx/>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28440">
                      <a:solidFill>
                        <a:srgbClr val="000000"/>
                      </a:solidFill>
                    </a:ln>
                  </c:spPr>
                </c15:leaderLines>
              </c:ext>
            </c:extLst>
          </c:dLbls>
          <c:cat>
            <c:strRef>
              <c:f>Dashboard!$A$8:$A$19</c:f>
              <c:strCache>
                <c:ptCount val="12"/>
                <c:pt idx="0">
                  <c:v>Январь 2023</c:v>
                </c:pt>
                <c:pt idx="1">
                  <c:v>Февраль 2023</c:v>
                </c:pt>
                <c:pt idx="2">
                  <c:v>Март 2023</c:v>
                </c:pt>
                <c:pt idx="3">
                  <c:v>Апрель 2023</c:v>
                </c:pt>
                <c:pt idx="4">
                  <c:v>Май 2023</c:v>
                </c:pt>
                <c:pt idx="5">
                  <c:v>Июнь 2023</c:v>
                </c:pt>
                <c:pt idx="6">
                  <c:v>Июль 2023</c:v>
                </c:pt>
                <c:pt idx="7">
                  <c:v>Август 2023</c:v>
                </c:pt>
                <c:pt idx="8">
                  <c:v>Сентябрь 2023</c:v>
                </c:pt>
                <c:pt idx="9">
                  <c:v>Октябрь 2023</c:v>
                </c:pt>
                <c:pt idx="10">
                  <c:v>Ноябрь 2023</c:v>
                </c:pt>
                <c:pt idx="11">
                  <c:v>Декабрь 2023</c:v>
                </c:pt>
              </c:strCache>
            </c:strRef>
          </c:cat>
          <c:val>
            <c:numRef>
              <c:f>Dashboard!$C$8:$C$19</c:f>
              <c:numCache>
                <c:formatCode>0.0%</c:formatCode>
                <c:ptCount val="12"/>
                <c:pt idx="0">
                  <c:v>0.13463676695619625</c:v>
                </c:pt>
                <c:pt idx="1">
                  <c:v>9.0870627810364993E-2</c:v>
                </c:pt>
                <c:pt idx="2">
                  <c:v>0.16166210920685742</c:v>
                </c:pt>
                <c:pt idx="3">
                  <c:v>9.2300094785219874E-2</c:v>
                </c:pt>
                <c:pt idx="4">
                  <c:v>0</c:v>
                </c:pt>
                <c:pt idx="5">
                  <c:v>3.8059007840357574E-2</c:v>
                </c:pt>
                <c:pt idx="6">
                  <c:v>0.10612789430055719</c:v>
                </c:pt>
                <c:pt idx="7">
                  <c:v>3.6017215423464588E-2</c:v>
                </c:pt>
                <c:pt idx="8">
                  <c:v>0</c:v>
                </c:pt>
                <c:pt idx="9">
                  <c:v>0.11239701738196863</c:v>
                </c:pt>
                <c:pt idx="10">
                  <c:v>1.8931474326249177E-2</c:v>
                </c:pt>
                <c:pt idx="11">
                  <c:v>0.15549810960551391</c:v>
                </c:pt>
              </c:numCache>
            </c:numRef>
          </c:val>
          <c:smooth val="1"/>
          <c:extLst>
            <c:ext xmlns:c16="http://schemas.microsoft.com/office/drawing/2014/chart" uri="{C3380CC4-5D6E-409C-BE32-E72D297353CC}">
              <c16:uniqueId val="{00000001-DAF7-41D5-84A4-775413B7A74A}"/>
            </c:ext>
          </c:extLst>
        </c:ser>
        <c:dLbls>
          <c:showLegendKey val="0"/>
          <c:showVal val="0"/>
          <c:showCatName val="0"/>
          <c:showSerName val="0"/>
          <c:showPercent val="0"/>
          <c:showBubbleSize val="0"/>
        </c:dLbls>
        <c:hiLowLines>
          <c:spPr>
            <a:ln w="0">
              <a:noFill/>
            </a:ln>
          </c:spPr>
        </c:hiLowLines>
        <c:smooth val="0"/>
        <c:axId val="84348391"/>
        <c:axId val="70390385"/>
      </c:lineChart>
      <c:catAx>
        <c:axId val="84348391"/>
        <c:scaling>
          <c:orientation val="minMax"/>
        </c:scaling>
        <c:delete val="0"/>
        <c:axPos val="b"/>
        <c:numFmt formatCode="General" sourceLinked="1"/>
        <c:majorTickMark val="none"/>
        <c:minorTickMark val="none"/>
        <c:tickLblPos val="nextTo"/>
        <c:spPr>
          <a:ln w="9360">
            <a:solidFill>
              <a:srgbClr val="878787"/>
            </a:solidFill>
            <a:round/>
          </a:ln>
        </c:spPr>
        <c:txPr>
          <a:bodyPr rot="-2700000"/>
          <a:lstStyle/>
          <a:p>
            <a:pPr>
              <a:defRPr sz="1000" b="0" u="none" strike="noStrike">
                <a:solidFill>
                  <a:srgbClr val="000000"/>
                </a:solidFill>
                <a:uFillTx/>
                <a:latin typeface="Calibri"/>
              </a:defRPr>
            </a:pPr>
            <a:endParaRPr lang="ru-RU"/>
          </a:p>
        </c:txPr>
        <c:crossAx val="70390385"/>
        <c:crosses val="autoZero"/>
        <c:auto val="1"/>
        <c:lblAlgn val="ctr"/>
        <c:lblOffset val="100"/>
        <c:noMultiLvlLbl val="0"/>
      </c:catAx>
      <c:valAx>
        <c:axId val="70390385"/>
        <c:scaling>
          <c:orientation val="minMax"/>
          <c:min val="-0.2"/>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ru-RU" sz="1000" b="1" u="none" strike="noStrike">
                    <a:solidFill>
                      <a:srgbClr val="000000"/>
                    </a:solidFill>
                    <a:uFillTx/>
                    <a:latin typeface="Calibri"/>
                  </a:rPr>
                  <a:t>Коэффициент</a:t>
                </a:r>
              </a:p>
            </c:rich>
          </c:tx>
          <c:layout>
            <c:manualLayout>
              <c:xMode val="edge"/>
              <c:yMode val="edge"/>
              <c:x val="1.2531631702648718E-2"/>
              <c:y val="0.35560579810595805"/>
            </c:manualLayout>
          </c:layout>
          <c:overlay val="0"/>
          <c:spPr>
            <a:noFill/>
            <a:ln w="0">
              <a:noFill/>
            </a:ln>
          </c:spPr>
        </c:title>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ru-RU"/>
          </a:p>
        </c:txPr>
        <c:crossAx val="84348391"/>
        <c:crosses val="autoZero"/>
        <c:crossBetween val="between"/>
      </c:valAx>
      <c:spPr>
        <a:noFill/>
        <a:ln w="0">
          <a:noFill/>
        </a:ln>
      </c:spPr>
    </c:plotArea>
    <c:legend>
      <c:legendPos val="r"/>
      <c:layout>
        <c:manualLayout>
          <c:xMode val="edge"/>
          <c:yMode val="edge"/>
          <c:x val="0.31218737616776343"/>
          <c:y val="0.90735914807572127"/>
          <c:w val="0.45061269392082853"/>
          <c:h val="8.921151814745977E-2"/>
        </c:manualLayout>
      </c:layout>
      <c:overlay val="0"/>
      <c:spPr>
        <a:noFill/>
        <a:ln w="0">
          <a:noFill/>
        </a:ln>
      </c:spPr>
      <c:txPr>
        <a:bodyPr/>
        <a:lstStyle/>
        <a:p>
          <a:pPr>
            <a:defRPr sz="1000" b="0" u="none" strike="noStrike">
              <a:solidFill>
                <a:srgbClr val="000000"/>
              </a:solidFill>
              <a:uFillTx/>
              <a:latin typeface="Calibri"/>
            </a:defRPr>
          </a:pPr>
          <a:endParaRPr lang="ru-RU"/>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600" b="0" u="none" strike="noStrike">
                <a:uFillTx/>
                <a:latin typeface="Arial"/>
              </a:defRPr>
            </a:pPr>
            <a:r>
              <a:rPr lang="ru-RU" sz="1600" b="1" u="none" strike="noStrike">
                <a:solidFill>
                  <a:srgbClr val="000000"/>
                </a:solidFill>
                <a:uFillTx/>
                <a:latin typeface="Calibri"/>
              </a:rPr>
              <a:t>Коэффициент </a:t>
            </a:r>
            <a:r>
              <a:rPr lang="en-US" sz="1600" b="1" u="none" strike="noStrike">
                <a:solidFill>
                  <a:srgbClr val="000000"/>
                </a:solidFill>
                <a:uFillTx/>
                <a:latin typeface="Calibri"/>
              </a:rPr>
              <a:t>M1 </a:t>
            </a:r>
            <a:r>
              <a:rPr lang="ru-RU" sz="1600" b="1" u="none" strike="noStrike">
                <a:solidFill>
                  <a:srgbClr val="000000"/>
                </a:solidFill>
                <a:uFillTx/>
                <a:latin typeface="Calibri"/>
              </a:rPr>
              <a:t>по менеджерам за год</a:t>
            </a:r>
          </a:p>
        </c:rich>
      </c:tx>
      <c:overlay val="0"/>
      <c:spPr>
        <a:noFill/>
        <a:ln w="0">
          <a:noFill/>
        </a:ln>
      </c:spPr>
    </c:title>
    <c:autoTitleDeleted val="0"/>
    <c:plotArea>
      <c:layout/>
      <c:barChart>
        <c:barDir val="bar"/>
        <c:grouping val="clustered"/>
        <c:varyColors val="0"/>
        <c:ser>
          <c:idx val="0"/>
          <c:order val="0"/>
          <c:tx>
            <c:strRef>
              <c:f>Dashboard!$B$22</c:f>
              <c:strCache>
                <c:ptCount val="1"/>
                <c:pt idx="0">
                  <c:v>M1</c:v>
                </c:pt>
              </c:strCache>
            </c:strRef>
          </c:tx>
          <c:spPr>
            <a:solidFill>
              <a:srgbClr val="4F81BD"/>
            </a:solidFill>
            <a:ln w="9360">
              <a:solidFill>
                <a:srgbClr val="F9F9F9"/>
              </a:solidFill>
              <a:round/>
            </a:ln>
          </c:spPr>
          <c:invertIfNegative val="0"/>
          <c:dLbls>
            <c:spPr>
              <a:noFill/>
              <a:ln>
                <a:noFill/>
              </a:ln>
              <a:effectLst/>
            </c:spPr>
            <c:txPr>
              <a:bodyPr wrap="none"/>
              <a:lstStyle/>
              <a:p>
                <a:pPr>
                  <a:defRPr sz="1000" b="0" u="none" strike="noStrike">
                    <a:uFillTx/>
                    <a:latin typeface="Arial"/>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a:solidFill>
                        <a:srgbClr val="F9F9F9"/>
                      </a:solidFill>
                    </a:ln>
                  </c:spPr>
                </c15:leaderLines>
              </c:ext>
            </c:extLst>
          </c:dLbls>
          <c:cat>
            <c:strRef>
              <c:f>Dashboard!$A$23:$A$31</c:f>
              <c:strCache>
                <c:ptCount val="9"/>
                <c:pt idx="0">
                  <c:v>Федорова Марина Васильевна</c:v>
                </c:pt>
                <c:pt idx="1">
                  <c:v>Иванова Мария Сергеевна</c:v>
                </c:pt>
                <c:pt idx="2">
                  <c:v>Кузнецов Михаил Иванович</c:v>
                </c:pt>
                <c:pt idx="3">
                  <c:v>Попова Екатерина Николаевна</c:v>
                </c:pt>
                <c:pt idx="4">
                  <c:v>Васильев Артем Александрович</c:v>
                </c:pt>
                <c:pt idx="5">
                  <c:v>Соколова Анастасия Викторовна</c:v>
                </c:pt>
                <c:pt idx="6">
                  <c:v>Михайлов Андрей Сергеевич</c:v>
                </c:pt>
                <c:pt idx="7">
                  <c:v>Смирнова Ольга Владимировна</c:v>
                </c:pt>
                <c:pt idx="8">
                  <c:v>Петрова Анна Дмитриевна</c:v>
                </c:pt>
              </c:strCache>
            </c:strRef>
          </c:cat>
          <c:val>
            <c:numRef>
              <c:f>Dashboard!$B$23:$B$31</c:f>
              <c:numCache>
                <c:formatCode>0.0%</c:formatCode>
                <c:ptCount val="9"/>
                <c:pt idx="0">
                  <c:v>0</c:v>
                </c:pt>
                <c:pt idx="1">
                  <c:v>0.35114550269123146</c:v>
                </c:pt>
                <c:pt idx="2">
                  <c:v>0.47844844481531362</c:v>
                </c:pt>
                <c:pt idx="3">
                  <c:v>0.51229586158869456</c:v>
                </c:pt>
                <c:pt idx="4">
                  <c:v>0.53055963269494122</c:v>
                </c:pt>
                <c:pt idx="5">
                  <c:v>0.58456167312733409</c:v>
                </c:pt>
                <c:pt idx="6">
                  <c:v>0.66494138694116622</c:v>
                </c:pt>
                <c:pt idx="7">
                  <c:v>0.7017268043347662</c:v>
                </c:pt>
                <c:pt idx="8">
                  <c:v>1.1111818218738578</c:v>
                </c:pt>
              </c:numCache>
            </c:numRef>
          </c:val>
          <c:extLst>
            <c:ext xmlns:c16="http://schemas.microsoft.com/office/drawing/2014/chart" uri="{C3380CC4-5D6E-409C-BE32-E72D297353CC}">
              <c16:uniqueId val="{00000000-C910-4838-8C3B-22442A05B9B1}"/>
            </c:ext>
          </c:extLst>
        </c:ser>
        <c:dLbls>
          <c:showLegendKey val="0"/>
          <c:showVal val="0"/>
          <c:showCatName val="0"/>
          <c:showSerName val="0"/>
          <c:showPercent val="0"/>
          <c:showBubbleSize val="0"/>
        </c:dLbls>
        <c:gapWidth val="80"/>
        <c:axId val="32340070"/>
        <c:axId val="53419152"/>
      </c:barChart>
      <c:catAx>
        <c:axId val="3234007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ru-RU"/>
          </a:p>
        </c:txPr>
        <c:crossAx val="53419152"/>
        <c:crosses val="autoZero"/>
        <c:auto val="1"/>
        <c:lblAlgn val="ctr"/>
        <c:lblOffset val="100"/>
        <c:noMultiLvlLbl val="0"/>
      </c:catAx>
      <c:valAx>
        <c:axId val="53419152"/>
        <c:scaling>
          <c:orientation val="minMax"/>
        </c:scaling>
        <c:delete val="0"/>
        <c:axPos val="b"/>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ru-RU"/>
          </a:p>
        </c:txPr>
        <c:crossAx val="32340070"/>
        <c:crosses val="autoZero"/>
        <c:crossBetween val="between"/>
      </c:valAx>
      <c:spPr>
        <a:noFill/>
        <a:ln w="0">
          <a:noFill/>
        </a:ln>
      </c:spPr>
    </c:plotArea>
    <c:legend>
      <c:legendPos val="r"/>
      <c:overlay val="0"/>
      <c:spPr>
        <a:noFill/>
        <a:ln w="0">
          <a:noFill/>
        </a:ln>
      </c:spPr>
      <c:txPr>
        <a:bodyPr/>
        <a:lstStyle/>
        <a:p>
          <a:pPr>
            <a:defRPr sz="1000" b="0" u="none" strike="noStrike">
              <a:solidFill>
                <a:srgbClr val="000000"/>
              </a:solidFill>
              <a:uFillTx/>
              <a:latin typeface="Calibri"/>
            </a:defRPr>
          </a:pPr>
          <a:endParaRPr lang="ru-RU"/>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wrap="square" anchor="ctr" anchorCtr="1"/>
          <a:lstStyle/>
          <a:p>
            <a:pPr>
              <a:defRPr sz="1600" b="0" i="0" u="none" strike="noStrike" kern="1200" baseline="0">
                <a:solidFill>
                  <a:schemeClr val="tx1"/>
                </a:solidFill>
                <a:uFillTx/>
                <a:latin typeface="Arial"/>
                <a:ea typeface="+mn-ea"/>
                <a:cs typeface="+mn-cs"/>
              </a:defRPr>
            </a:pPr>
            <a:r>
              <a:rPr lang="ru-RU" sz="1600" b="1" i="0" u="none" strike="noStrike" kern="1200" baseline="0">
                <a:solidFill>
                  <a:srgbClr val="000000"/>
                </a:solidFill>
                <a:uFillTx/>
                <a:latin typeface="Calibri"/>
              </a:rPr>
              <a:t>Коэффициент </a:t>
            </a:r>
            <a:r>
              <a:rPr lang="en-US" sz="1600" b="1" i="0" u="none" strike="noStrike" kern="1200" baseline="0">
                <a:solidFill>
                  <a:srgbClr val="000000"/>
                </a:solidFill>
                <a:uFillTx/>
                <a:latin typeface="Calibri"/>
              </a:rPr>
              <a:t>M</a:t>
            </a:r>
            <a:r>
              <a:rPr lang="ru-RU" sz="1600" b="1" i="0" u="none" strike="noStrike" kern="1200" baseline="0">
                <a:solidFill>
                  <a:srgbClr val="000000"/>
                </a:solidFill>
                <a:uFillTx/>
                <a:latin typeface="Calibri"/>
              </a:rPr>
              <a:t>2</a:t>
            </a:r>
            <a:r>
              <a:rPr lang="en-US" sz="1600" b="1" i="0" u="none" strike="noStrike" kern="1200" baseline="0">
                <a:solidFill>
                  <a:srgbClr val="000000"/>
                </a:solidFill>
                <a:uFillTx/>
                <a:latin typeface="Calibri"/>
              </a:rPr>
              <a:t> </a:t>
            </a:r>
            <a:r>
              <a:rPr lang="ru-RU" sz="1600" b="1" i="0" u="none" strike="noStrike" kern="1200" baseline="0">
                <a:solidFill>
                  <a:srgbClr val="000000"/>
                </a:solidFill>
                <a:uFillTx/>
                <a:latin typeface="Calibri"/>
              </a:rPr>
              <a:t>по менеджерам за год</a:t>
            </a:r>
          </a:p>
        </c:rich>
      </c:tx>
      <c:overlay val="0"/>
      <c:spPr>
        <a:noFill/>
        <a:ln w="0">
          <a:noFill/>
        </a:ln>
        <a:effectLst/>
      </c:spPr>
      <c:txPr>
        <a:bodyPr rot="0" spcFirstLastPara="1" vertOverflow="ellipsis" wrap="square" anchor="ctr" anchorCtr="1"/>
        <a:lstStyle/>
        <a:p>
          <a:pPr>
            <a:defRPr sz="1600" b="0" i="0" u="none" strike="noStrike" kern="1200" baseline="0">
              <a:solidFill>
                <a:schemeClr val="tx1"/>
              </a:solidFill>
              <a:uFillTx/>
              <a:latin typeface="Arial"/>
              <a:ea typeface="+mn-ea"/>
              <a:cs typeface="+mn-cs"/>
            </a:defRPr>
          </a:pPr>
          <a:endParaRPr lang="ru-RU"/>
        </a:p>
      </c:txPr>
    </c:title>
    <c:autoTitleDeleted val="0"/>
    <c:plotArea>
      <c:layout/>
      <c:barChart>
        <c:barDir val="bar"/>
        <c:grouping val="clustered"/>
        <c:varyColors val="0"/>
        <c:ser>
          <c:idx val="0"/>
          <c:order val="0"/>
          <c:tx>
            <c:strRef>
              <c:f>Dashboard!$C$22</c:f>
              <c:strCache>
                <c:ptCount val="1"/>
                <c:pt idx="0">
                  <c:v>M2</c:v>
                </c:pt>
              </c:strCache>
            </c:strRef>
          </c:tx>
          <c:spPr>
            <a:solidFill>
              <a:schemeClr val="accent6"/>
            </a:solidFill>
            <a:ln>
              <a:noFill/>
            </a:ln>
            <a:effectLst/>
          </c:spPr>
          <c:invertIfNegative val="0"/>
          <c:dLbls>
            <c:spPr>
              <a:noFill/>
              <a:ln>
                <a:noFill/>
              </a:ln>
              <a:effectLst/>
            </c:spPr>
            <c:txPr>
              <a:bodyPr rot="0" spcFirstLastPara="1" vertOverflow="ellipsis" vert="horz" wrap="none" anchor="ctr" anchorCtr="1"/>
              <a:lstStyle/>
              <a:p>
                <a:pPr>
                  <a:defRPr sz="1000" b="0" i="0" u="none" strike="noStrike" kern="1200" baseline="0">
                    <a:solidFill>
                      <a:schemeClr val="tx1"/>
                    </a:solidFill>
                    <a:uFillTx/>
                    <a:latin typeface="Arial"/>
                    <a:ea typeface="+mn-ea"/>
                    <a:cs typeface="+mn-cs"/>
                  </a:defRPr>
                </a:pPr>
                <a:endParaRPr lang="ru-RU"/>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cap="flat" cmpd="sng" algn="ctr">
                      <a:solidFill>
                        <a:srgbClr val="F9F9F9"/>
                      </a:solidFill>
                      <a:prstDash val="solid"/>
                      <a:round/>
                    </a:ln>
                    <a:effectLst/>
                  </c:spPr>
                </c15:leaderLines>
              </c:ext>
            </c:extLst>
          </c:dLbls>
          <c:cat>
            <c:strRef>
              <c:f>Dashboard!$A$23:$A$31</c:f>
              <c:strCache>
                <c:ptCount val="9"/>
                <c:pt idx="0">
                  <c:v>Федорова Марина Васильевна</c:v>
                </c:pt>
                <c:pt idx="1">
                  <c:v>Иванова Мария Сергеевна</c:v>
                </c:pt>
                <c:pt idx="2">
                  <c:v>Кузнецов Михаил Иванович</c:v>
                </c:pt>
                <c:pt idx="3">
                  <c:v>Попова Екатерина Николаевна</c:v>
                </c:pt>
                <c:pt idx="4">
                  <c:v>Васильев Артем Александрович</c:v>
                </c:pt>
                <c:pt idx="5">
                  <c:v>Соколова Анастасия Викторовна</c:v>
                </c:pt>
                <c:pt idx="6">
                  <c:v>Михайлов Андрей Сергеевич</c:v>
                </c:pt>
                <c:pt idx="7">
                  <c:v>Смирнова Ольга Владимировна</c:v>
                </c:pt>
                <c:pt idx="8">
                  <c:v>Петрова Анна Дмитриевна</c:v>
                </c:pt>
              </c:strCache>
            </c:strRef>
          </c:cat>
          <c:val>
            <c:numRef>
              <c:f>Dashboard!$C$23:$C$31</c:f>
              <c:numCache>
                <c:formatCode>0.0%</c:formatCode>
                <c:ptCount val="9"/>
                <c:pt idx="0">
                  <c:v>0</c:v>
                </c:pt>
                <c:pt idx="1">
                  <c:v>0</c:v>
                </c:pt>
                <c:pt idx="2">
                  <c:v>0</c:v>
                </c:pt>
                <c:pt idx="3">
                  <c:v>0.13786978511517137</c:v>
                </c:pt>
                <c:pt idx="4">
                  <c:v>8.8952483941671448E-2</c:v>
                </c:pt>
                <c:pt idx="5">
                  <c:v>6.0343191327953308E-2</c:v>
                </c:pt>
                <c:pt idx="6">
                  <c:v>0</c:v>
                </c:pt>
                <c:pt idx="7">
                  <c:v>0.25367118489489993</c:v>
                </c:pt>
                <c:pt idx="8">
                  <c:v>0</c:v>
                </c:pt>
              </c:numCache>
            </c:numRef>
          </c:val>
          <c:extLst>
            <c:ext xmlns:c16="http://schemas.microsoft.com/office/drawing/2014/chart" uri="{C3380CC4-5D6E-409C-BE32-E72D297353CC}">
              <c16:uniqueId val="{00000000-298C-4403-BF60-E8A3F57BA567}"/>
            </c:ext>
          </c:extLst>
        </c:ser>
        <c:dLbls>
          <c:showLegendKey val="0"/>
          <c:showVal val="0"/>
          <c:showCatName val="0"/>
          <c:showSerName val="0"/>
          <c:showPercent val="0"/>
          <c:showBubbleSize val="0"/>
        </c:dLbls>
        <c:gapWidth val="80"/>
        <c:axId val="32340070"/>
        <c:axId val="53419152"/>
      </c:barChart>
      <c:catAx>
        <c:axId val="32340070"/>
        <c:scaling>
          <c:orientation val="minMax"/>
        </c:scaling>
        <c:delete val="0"/>
        <c:axPos val="l"/>
        <c:numFmt formatCode="General"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baseline="0">
                <a:solidFill>
                  <a:srgbClr val="000000"/>
                </a:solidFill>
                <a:uFillTx/>
                <a:latin typeface="Calibri"/>
                <a:ea typeface="+mn-ea"/>
                <a:cs typeface="+mn-cs"/>
              </a:defRPr>
            </a:pPr>
            <a:endParaRPr lang="ru-RU"/>
          </a:p>
        </c:txPr>
        <c:crossAx val="53419152"/>
        <c:crosses val="autoZero"/>
        <c:auto val="1"/>
        <c:lblAlgn val="ctr"/>
        <c:lblOffset val="100"/>
        <c:noMultiLvlLbl val="0"/>
      </c:catAx>
      <c:valAx>
        <c:axId val="53419152"/>
        <c:scaling>
          <c:orientation val="minMax"/>
        </c:scaling>
        <c:delete val="0"/>
        <c:axPos val="b"/>
        <c:majorGridlines>
          <c:spPr>
            <a:ln w="9360" cap="flat" cmpd="sng" algn="ctr">
              <a:solidFill>
                <a:srgbClr val="878787"/>
              </a:solidFill>
              <a:prstDash val="solid"/>
              <a:round/>
            </a:ln>
            <a:effectLst/>
          </c:spPr>
        </c:majorGridlines>
        <c:numFmt formatCode="0.0%" sourceLinked="1"/>
        <c:majorTickMark val="none"/>
        <c:minorTickMark val="none"/>
        <c:tickLblPos val="nextTo"/>
        <c:spPr>
          <a:noFill/>
          <a:ln w="9360" cap="flat" cmpd="sng" algn="ctr">
            <a:solidFill>
              <a:srgbClr val="878787"/>
            </a:solidFill>
            <a:prstDash val="solid"/>
            <a:round/>
          </a:ln>
          <a:effectLst/>
        </c:spPr>
        <c:txPr>
          <a:bodyPr rot="-60000000" spcFirstLastPara="1" vertOverflow="ellipsis" vert="horz" wrap="square" anchor="ctr" anchorCtr="1"/>
          <a:lstStyle/>
          <a:p>
            <a:pPr>
              <a:defRPr sz="1000" b="0" i="0" u="none" strike="noStrike" kern="1200" baseline="0">
                <a:solidFill>
                  <a:srgbClr val="000000"/>
                </a:solidFill>
                <a:uFillTx/>
                <a:latin typeface="Calibri"/>
                <a:ea typeface="+mn-ea"/>
                <a:cs typeface="+mn-cs"/>
              </a:defRPr>
            </a:pPr>
            <a:endParaRPr lang="ru-RU"/>
          </a:p>
        </c:txPr>
        <c:crossAx val="32340070"/>
        <c:crosses val="autoZero"/>
        <c:crossBetween val="between"/>
      </c:valAx>
      <c:spPr>
        <a:noFill/>
        <a:ln w="0">
          <a:noFill/>
        </a:ln>
        <a:effectLst/>
      </c:spPr>
    </c:plotArea>
    <c:legend>
      <c:legendPos val="r"/>
      <c:overlay val="0"/>
      <c:spPr>
        <a:noFill/>
        <a:ln w="0">
          <a:noFill/>
        </a:ln>
        <a:effectLst/>
      </c:spPr>
      <c:txPr>
        <a:bodyPr rot="0" spcFirstLastPara="1" vertOverflow="ellipsis" vert="horz" wrap="square" anchor="ctr" anchorCtr="1"/>
        <a:lstStyle/>
        <a:p>
          <a:pPr>
            <a:defRPr sz="1000" b="0" i="0" u="none" strike="noStrike" kern="1200" baseline="0">
              <a:solidFill>
                <a:srgbClr val="000000"/>
              </a:solidFill>
              <a:uFillTx/>
              <a:latin typeface="Calibri"/>
              <a:ea typeface="+mn-ea"/>
              <a:cs typeface="+mn-cs"/>
            </a:defRPr>
          </a:pPr>
          <a:endParaRPr lang="ru-RU"/>
        </a:p>
      </c:txPr>
    </c:legend>
    <c:plotVisOnly val="1"/>
    <c:dispBlanksAs val="gap"/>
    <c:showDLblsOverMax val="1"/>
  </c:chart>
  <c:spPr>
    <a:solidFill>
      <a:srgbClr val="FFFFFF"/>
    </a:solidFill>
    <a:ln w="9360" cap="flat" cmpd="sng" algn="ctr">
      <a:solidFill>
        <a:srgbClr val="D9D9D9"/>
      </a:solidFill>
      <a:prstDash val="solid"/>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122463</xdr:colOff>
      <xdr:row>4</xdr:row>
      <xdr:rowOff>136071</xdr:rowOff>
    </xdr:from>
    <xdr:to>
      <xdr:col>10</xdr:col>
      <xdr:colOff>2235903</xdr:colOff>
      <xdr:row>19</xdr:row>
      <xdr:rowOff>40820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61074</xdr:colOff>
      <xdr:row>20</xdr:row>
      <xdr:rowOff>25614</xdr:rowOff>
    </xdr:from>
    <xdr:to>
      <xdr:col>10</xdr:col>
      <xdr:colOff>2253354</xdr:colOff>
      <xdr:row>30</xdr:row>
      <xdr:rowOff>234557</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2854</xdr:colOff>
      <xdr:row>20</xdr:row>
      <xdr:rowOff>12735</xdr:rowOff>
    </xdr:from>
    <xdr:to>
      <xdr:col>18</xdr:col>
      <xdr:colOff>279054</xdr:colOff>
      <xdr:row>30</xdr:row>
      <xdr:rowOff>221059</xdr:rowOff>
    </xdr:to>
    <xdr:graphicFrame macro="">
      <xdr:nvGraphicFramePr>
        <xdr:cNvPr id="5" name="Chart 4">
          <a:extLst>
            <a:ext uri="{FF2B5EF4-FFF2-40B4-BE49-F238E27FC236}">
              <a16:creationId xmlns:a16="http://schemas.microsoft.com/office/drawing/2014/main" id="{749DE3C6-B6D7-4B83-8545-5B9AF1B2A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789910</xdr:colOff>
      <xdr:row>23</xdr:row>
      <xdr:rowOff>60916</xdr:rowOff>
    </xdr:from>
    <xdr:to>
      <xdr:col>26</xdr:col>
      <xdr:colOff>1334446</xdr:colOff>
      <xdr:row>32</xdr:row>
      <xdr:rowOff>286415</xdr:rowOff>
    </xdr:to>
    <mc:AlternateContent xmlns:mc="http://schemas.openxmlformats.org/markup-compatibility/2006">
      <mc:Choice xmlns:a14="http://schemas.microsoft.com/office/drawing/2010/main" Requires="a14">
        <xdr:graphicFrame macro="">
          <xdr:nvGraphicFramePr>
            <xdr:cNvPr id="11" name="Месяц отчета">
              <a:extLst>
                <a:ext uri="{FF2B5EF4-FFF2-40B4-BE49-F238E27FC236}">
                  <a16:creationId xmlns:a16="http://schemas.microsoft.com/office/drawing/2014/main" id="{DB1E36F0-46D3-390E-2E05-11F7F2E3A335}"/>
                </a:ext>
              </a:extLst>
            </xdr:cNvPr>
            <xdr:cNvGraphicFramePr/>
          </xdr:nvGraphicFramePr>
          <xdr:xfrm>
            <a:off x="0" y="0"/>
            <a:ext cx="0" cy="0"/>
          </xdr:xfrm>
          <a:graphic>
            <a:graphicData uri="http://schemas.microsoft.com/office/drawing/2010/slicer">
              <sle:slicer xmlns:sle="http://schemas.microsoft.com/office/drawing/2010/slicer" name="Месяц отчета"/>
            </a:graphicData>
          </a:graphic>
        </xdr:graphicFrame>
      </mc:Choice>
      <mc:Fallback>
        <xdr:sp macro="" textlink="">
          <xdr:nvSpPr>
            <xdr:cNvPr id="0" name=""/>
            <xdr:cNvSpPr>
              <a:spLocks noTextEdit="1"/>
            </xdr:cNvSpPr>
          </xdr:nvSpPr>
          <xdr:spPr>
            <a:xfrm>
              <a:off x="36324655" y="5959923"/>
              <a:ext cx="5317859" cy="2401094"/>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71991</xdr:colOff>
      <xdr:row>23</xdr:row>
      <xdr:rowOff>71991</xdr:rowOff>
    </xdr:from>
    <xdr:to>
      <xdr:col>23</xdr:col>
      <xdr:colOff>566407</xdr:colOff>
      <xdr:row>32</xdr:row>
      <xdr:rowOff>265814</xdr:rowOff>
    </xdr:to>
    <mc:AlternateContent xmlns:mc="http://schemas.openxmlformats.org/markup-compatibility/2006">
      <mc:Choice xmlns:a14="http://schemas.microsoft.com/office/drawing/2010/main" Requires="a14">
        <xdr:graphicFrame macro="">
          <xdr:nvGraphicFramePr>
            <xdr:cNvPr id="12" name="Коэффициент">
              <a:extLst>
                <a:ext uri="{FF2B5EF4-FFF2-40B4-BE49-F238E27FC236}">
                  <a16:creationId xmlns:a16="http://schemas.microsoft.com/office/drawing/2014/main" id="{19790EA8-747C-81C7-1316-4BD6E02BD7CC}"/>
                </a:ext>
              </a:extLst>
            </xdr:cNvPr>
            <xdr:cNvGraphicFramePr/>
          </xdr:nvGraphicFramePr>
          <xdr:xfrm>
            <a:off x="0" y="0"/>
            <a:ext cx="0" cy="0"/>
          </xdr:xfrm>
          <a:graphic>
            <a:graphicData uri="http://schemas.microsoft.com/office/drawing/2010/slicer">
              <sle:slicer xmlns:sle="http://schemas.microsoft.com/office/drawing/2010/slicer" name="Коэффициент"/>
            </a:graphicData>
          </a:graphic>
        </xdr:graphicFrame>
      </mc:Choice>
      <mc:Fallback>
        <xdr:sp macro="" textlink="">
          <xdr:nvSpPr>
            <xdr:cNvPr id="0" name=""/>
            <xdr:cNvSpPr>
              <a:spLocks noTextEdit="1"/>
            </xdr:cNvSpPr>
          </xdr:nvSpPr>
          <xdr:spPr>
            <a:xfrm>
              <a:off x="33550202" y="5970998"/>
              <a:ext cx="2550950" cy="236941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p lop" refreshedDate="46120.635510069442" createdVersion="8" refreshedVersion="8" minRefreshableVersion="3" recordCount="240" xr:uid="{6AA88FF0-BA55-48F4-B57D-1DDF7C4935B4}">
  <cacheSource type="worksheet">
    <worksheetSource ref="A1:I241" sheet="Main"/>
  </cacheSource>
  <cacheFields count="9">
    <cacheField name="Месяц отчета" numFmtId="0">
      <sharedItems count="12">
        <s v="Январь 2023"/>
        <s v="Февраль 2023"/>
        <s v="Март 2023"/>
        <s v="Апрель 2023"/>
        <s v="Май 2023"/>
        <s v="Июнь 2023"/>
        <s v="Июль 2023"/>
        <s v="Август 2023"/>
        <s v="Сентябрь 2023"/>
        <s v="Октябрь 2023"/>
        <s v="Ноябрь 2023"/>
        <s v="Декабрь 2023"/>
      </sharedItems>
    </cacheField>
    <cacheField name="Коэффициент" numFmtId="0">
      <sharedItems count="2">
        <s v="M1"/>
        <s v="M2"/>
      </sharedItems>
    </cacheField>
    <cacheField name="Менеджер" numFmtId="0">
      <sharedItems count="10">
        <s v="Васильев Артем Александрович"/>
        <s v="Иванова Мария Сергеевна"/>
        <s v="Кузнецов Михаил Иванович"/>
        <s v="Михайлов Андрей Сергеевич"/>
        <s v="Петрова Анна Дмитриевна"/>
        <s v="Попова Екатерина Николаевна"/>
        <s v="Смирнова Ольга Владимировна"/>
        <s v="Соколова Анастасия Викторовна"/>
        <s v="Федорова Марина Васильевна"/>
        <s v="без А/М"/>
      </sharedItems>
    </cacheField>
    <cacheField name="Проектов в базе" numFmtId="3">
      <sharedItems containsSemiMixedTypes="0" containsString="0" containsNumber="1" containsInteger="1" minValue="0" maxValue="22"/>
    </cacheField>
    <cacheField name="Продлено проектов" numFmtId="3">
      <sharedItems containsSemiMixedTypes="0" containsString="0" containsNumber="1" containsInteger="1" minValue="0" maxValue="7"/>
    </cacheField>
    <cacheField name="Сумма базы, ₽" numFmtId="165">
      <sharedItems containsSemiMixedTypes="0" containsString="0" containsNumber="1" minValue="0" maxValue="2296595.71"/>
    </cacheField>
    <cacheField name="Сумма пролонгаций, ₽" numFmtId="165">
      <sharedItems containsSemiMixedTypes="0" containsString="0" containsNumber="1" minValue="0" maxValue="941761.6"/>
    </cacheField>
    <cacheField name="Конверсия по проектам" numFmtId="164">
      <sharedItems containsMixedTypes="1" containsNumber="1" minValue="0" maxValue="1"/>
    </cacheField>
    <cacheField name="Коэффициент пролонгации" numFmtId="164">
      <sharedItems containsMixedTypes="1" containsNumber="1" minValue="0" maxValue="2.4305770172992123"/>
    </cacheField>
  </cacheFields>
  <extLst>
    <ext xmlns:x14="http://schemas.microsoft.com/office/spreadsheetml/2009/9/main" uri="{725AE2AE-9491-48be-B2B4-4EB974FC3084}">
      <x14:pivotCacheDefinition pivotCacheId="7310668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x v="0"/>
    <x v="0"/>
    <x v="0"/>
    <n v="22"/>
    <n v="6"/>
    <n v="1693097.68"/>
    <n v="941761.6"/>
    <n v="0.27272727272727271"/>
    <n v="0.55623583395377396"/>
  </r>
  <r>
    <x v="0"/>
    <x v="0"/>
    <x v="1"/>
    <n v="16"/>
    <n v="4"/>
    <n v="2296595.71"/>
    <n v="620231.92000000004"/>
    <n v="0.25"/>
    <n v="0.27006578358539218"/>
  </r>
  <r>
    <x v="0"/>
    <x v="0"/>
    <x v="2"/>
    <n v="1"/>
    <n v="1"/>
    <n v="52335"/>
    <n v="66255"/>
    <n v="1"/>
    <n v="1.2659787904843796"/>
  </r>
  <r>
    <x v="0"/>
    <x v="0"/>
    <x v="3"/>
    <n v="10"/>
    <n v="4"/>
    <n v="641080.21"/>
    <n v="441014.09"/>
    <n v="0.4"/>
    <n v="0.68792341913034571"/>
  </r>
  <r>
    <x v="0"/>
    <x v="0"/>
    <x v="4"/>
    <n v="0"/>
    <n v="0"/>
    <n v="0"/>
    <n v="0"/>
    <s v=""/>
    <s v=""/>
  </r>
  <r>
    <x v="0"/>
    <x v="0"/>
    <x v="5"/>
    <n v="6"/>
    <n v="2"/>
    <n v="242070"/>
    <n v="106675"/>
    <n v="0.33333333333333331"/>
    <n v="0.44067831618953196"/>
  </r>
  <r>
    <x v="0"/>
    <x v="0"/>
    <x v="6"/>
    <n v="3"/>
    <n v="2"/>
    <n v="150075"/>
    <n v="111565"/>
    <n v="0.66666666666666663"/>
    <n v="0.74339496918207559"/>
  </r>
  <r>
    <x v="0"/>
    <x v="0"/>
    <x v="7"/>
    <n v="9"/>
    <n v="4"/>
    <n v="911513.26"/>
    <n v="389519"/>
    <n v="0.44444444444444442"/>
    <n v="0.42733223650525937"/>
  </r>
  <r>
    <x v="0"/>
    <x v="0"/>
    <x v="8"/>
    <n v="0"/>
    <n v="0"/>
    <n v="0"/>
    <n v="0"/>
    <s v=""/>
    <s v=""/>
  </r>
  <r>
    <x v="0"/>
    <x v="0"/>
    <x v="9"/>
    <n v="0"/>
    <n v="0"/>
    <n v="0"/>
    <n v="0"/>
    <s v=""/>
    <s v=""/>
  </r>
  <r>
    <x v="1"/>
    <x v="0"/>
    <x v="0"/>
    <n v="5"/>
    <n v="2"/>
    <n v="756225"/>
    <n v="874015"/>
    <n v="0.4"/>
    <n v="1.155760521008959"/>
  </r>
  <r>
    <x v="1"/>
    <x v="0"/>
    <x v="1"/>
    <n v="0"/>
    <n v="0"/>
    <n v="0"/>
    <n v="0"/>
    <s v=""/>
    <s v=""/>
  </r>
  <r>
    <x v="1"/>
    <x v="0"/>
    <x v="2"/>
    <n v="2"/>
    <n v="1"/>
    <n v="66255"/>
    <n v="56115"/>
    <n v="0.5"/>
    <n v="0.84695494679646821"/>
  </r>
  <r>
    <x v="1"/>
    <x v="0"/>
    <x v="3"/>
    <n v="2"/>
    <n v="2"/>
    <n v="900420"/>
    <n v="813660"/>
    <n v="1"/>
    <n v="0.90364496568268138"/>
  </r>
  <r>
    <x v="1"/>
    <x v="0"/>
    <x v="4"/>
    <n v="0"/>
    <n v="0"/>
    <n v="0"/>
    <n v="0"/>
    <s v=""/>
    <s v=""/>
  </r>
  <r>
    <x v="1"/>
    <x v="0"/>
    <x v="5"/>
    <n v="4"/>
    <n v="0"/>
    <n v="193877"/>
    <n v="0"/>
    <n v="0"/>
    <n v="0"/>
  </r>
  <r>
    <x v="1"/>
    <x v="0"/>
    <x v="6"/>
    <n v="1"/>
    <n v="0"/>
    <n v="48000"/>
    <n v="0"/>
    <n v="0"/>
    <n v="0"/>
  </r>
  <r>
    <x v="1"/>
    <x v="0"/>
    <x v="7"/>
    <n v="6"/>
    <n v="1"/>
    <n v="584298.5"/>
    <n v="137155"/>
    <n v="0.16666666666666666"/>
    <n v="0.23473447219186769"/>
  </r>
  <r>
    <x v="1"/>
    <x v="0"/>
    <x v="8"/>
    <n v="0"/>
    <n v="0"/>
    <n v="0"/>
    <n v="0"/>
    <s v=""/>
    <s v=""/>
  </r>
  <r>
    <x v="1"/>
    <x v="0"/>
    <x v="9"/>
    <n v="0"/>
    <n v="0"/>
    <n v="0"/>
    <n v="0"/>
    <s v=""/>
    <s v=""/>
  </r>
  <r>
    <x v="2"/>
    <x v="0"/>
    <x v="0"/>
    <n v="9"/>
    <n v="5"/>
    <n v="991467.42"/>
    <n v="621897.55000000005"/>
    <n v="0.55555555555555558"/>
    <n v="0.62724960745558334"/>
  </r>
  <r>
    <x v="2"/>
    <x v="0"/>
    <x v="1"/>
    <n v="4"/>
    <n v="1"/>
    <n v="229633.75"/>
    <n v="102433.75"/>
    <n v="0.25"/>
    <n v="0.44607445551884251"/>
  </r>
  <r>
    <x v="2"/>
    <x v="0"/>
    <x v="2"/>
    <n v="1"/>
    <n v="0"/>
    <n v="0"/>
    <n v="0"/>
    <n v="0"/>
    <s v=""/>
  </r>
  <r>
    <x v="2"/>
    <x v="0"/>
    <x v="3"/>
    <n v="1"/>
    <n v="1"/>
    <n v="5306.6"/>
    <n v="12898.1"/>
    <n v="1"/>
    <n v="2.4305770172992123"/>
  </r>
  <r>
    <x v="2"/>
    <x v="0"/>
    <x v="4"/>
    <n v="0"/>
    <n v="0"/>
    <n v="0"/>
    <n v="0"/>
    <s v=""/>
    <s v=""/>
  </r>
  <r>
    <x v="2"/>
    <x v="0"/>
    <x v="5"/>
    <n v="7"/>
    <n v="3"/>
    <n v="382865"/>
    <n v="262080"/>
    <n v="0.42857142857142855"/>
    <n v="0.68452326538074781"/>
  </r>
  <r>
    <x v="2"/>
    <x v="0"/>
    <x v="6"/>
    <n v="0"/>
    <n v="0"/>
    <n v="0"/>
    <n v="0"/>
    <s v=""/>
    <s v=""/>
  </r>
  <r>
    <x v="2"/>
    <x v="0"/>
    <x v="7"/>
    <n v="6"/>
    <n v="3"/>
    <n v="290060"/>
    <n v="272430"/>
    <n v="0.5"/>
    <n v="0.93921947183341381"/>
  </r>
  <r>
    <x v="2"/>
    <x v="0"/>
    <x v="8"/>
    <n v="0"/>
    <n v="0"/>
    <n v="0"/>
    <n v="0"/>
    <s v=""/>
    <s v=""/>
  </r>
  <r>
    <x v="2"/>
    <x v="0"/>
    <x v="9"/>
    <n v="0"/>
    <n v="0"/>
    <n v="0"/>
    <n v="0"/>
    <s v=""/>
    <s v=""/>
  </r>
  <r>
    <x v="3"/>
    <x v="0"/>
    <x v="0"/>
    <n v="11"/>
    <n v="5"/>
    <n v="1205775.45"/>
    <n v="562360"/>
    <n v="0.45454545454545453"/>
    <n v="0.46638866299691206"/>
  </r>
  <r>
    <x v="3"/>
    <x v="0"/>
    <x v="1"/>
    <n v="4"/>
    <n v="2"/>
    <n v="821973.75"/>
    <n v="228248"/>
    <n v="0.5"/>
    <n v="0.27768283354547513"/>
  </r>
  <r>
    <x v="3"/>
    <x v="0"/>
    <x v="2"/>
    <n v="1"/>
    <n v="0"/>
    <n v="1425"/>
    <n v="0"/>
    <n v="0"/>
    <n v="0"/>
  </r>
  <r>
    <x v="3"/>
    <x v="0"/>
    <x v="3"/>
    <n v="2"/>
    <n v="2"/>
    <n v="77937.100000000006"/>
    <n v="85640.35"/>
    <n v="1"/>
    <n v="1.0988393204263438"/>
  </r>
  <r>
    <x v="3"/>
    <x v="0"/>
    <x v="4"/>
    <n v="0"/>
    <n v="0"/>
    <n v="0"/>
    <n v="0"/>
    <s v=""/>
    <s v=""/>
  </r>
  <r>
    <x v="3"/>
    <x v="0"/>
    <x v="5"/>
    <n v="7"/>
    <n v="2"/>
    <n v="383845"/>
    <n v="111070"/>
    <n v="0.2857142857142857"/>
    <n v="0.28936159126730843"/>
  </r>
  <r>
    <x v="3"/>
    <x v="0"/>
    <x v="6"/>
    <n v="2"/>
    <n v="2"/>
    <n v="93075"/>
    <n v="89920"/>
    <n v="1"/>
    <n v="0.9661026054257319"/>
  </r>
  <r>
    <x v="3"/>
    <x v="0"/>
    <x v="7"/>
    <n v="4"/>
    <n v="3"/>
    <n v="398453"/>
    <n v="424685"/>
    <n v="0.75"/>
    <n v="1.0658346153749627"/>
  </r>
  <r>
    <x v="3"/>
    <x v="0"/>
    <x v="8"/>
    <n v="0"/>
    <n v="0"/>
    <n v="0"/>
    <n v="0"/>
    <s v=""/>
    <s v=""/>
  </r>
  <r>
    <x v="3"/>
    <x v="0"/>
    <x v="9"/>
    <n v="0"/>
    <n v="0"/>
    <n v="0"/>
    <n v="0"/>
    <s v=""/>
    <s v=""/>
  </r>
  <r>
    <x v="4"/>
    <x v="0"/>
    <x v="0"/>
    <n v="11"/>
    <n v="6"/>
    <n v="2044918.5"/>
    <n v="918624"/>
    <n v="0.54545454545454541"/>
    <n v="0.44922279298661538"/>
  </r>
  <r>
    <x v="4"/>
    <x v="0"/>
    <x v="1"/>
    <n v="1"/>
    <n v="1"/>
    <n v="138158"/>
    <n v="138158"/>
    <n v="1"/>
    <n v="1"/>
  </r>
  <r>
    <x v="4"/>
    <x v="0"/>
    <x v="2"/>
    <n v="0"/>
    <n v="0"/>
    <n v="0"/>
    <n v="0"/>
    <s v=""/>
    <s v=""/>
  </r>
  <r>
    <x v="4"/>
    <x v="0"/>
    <x v="3"/>
    <n v="3"/>
    <n v="2"/>
    <n v="410460"/>
    <n v="488289.75"/>
    <n v="0.66666666666666663"/>
    <n v="1.1896159187253326"/>
  </r>
  <r>
    <x v="4"/>
    <x v="0"/>
    <x v="4"/>
    <n v="0"/>
    <n v="0"/>
    <n v="0"/>
    <n v="0"/>
    <s v=""/>
    <s v=""/>
  </r>
  <r>
    <x v="4"/>
    <x v="0"/>
    <x v="5"/>
    <n v="8"/>
    <n v="6"/>
    <n v="464365"/>
    <n v="351500"/>
    <n v="0.75"/>
    <n v="0.75694765970734224"/>
  </r>
  <r>
    <x v="4"/>
    <x v="0"/>
    <x v="6"/>
    <n v="0"/>
    <n v="0"/>
    <n v="0"/>
    <n v="0"/>
    <s v=""/>
    <s v=""/>
  </r>
  <r>
    <x v="4"/>
    <x v="0"/>
    <x v="7"/>
    <n v="4"/>
    <n v="2"/>
    <n v="356730"/>
    <n v="84690"/>
    <n v="0.5"/>
    <n v="0.23740644184677487"/>
  </r>
  <r>
    <x v="4"/>
    <x v="0"/>
    <x v="8"/>
    <n v="0"/>
    <n v="0"/>
    <n v="0"/>
    <n v="0"/>
    <s v=""/>
    <s v=""/>
  </r>
  <r>
    <x v="4"/>
    <x v="0"/>
    <x v="9"/>
    <n v="0"/>
    <n v="0"/>
    <n v="0"/>
    <n v="0"/>
    <s v=""/>
    <s v=""/>
  </r>
  <r>
    <x v="5"/>
    <x v="0"/>
    <x v="0"/>
    <n v="5"/>
    <n v="2"/>
    <n v="390286"/>
    <n v="151933.28"/>
    <n v="0.4"/>
    <n v="0.38928703566102807"/>
  </r>
  <r>
    <x v="5"/>
    <x v="0"/>
    <x v="1"/>
    <n v="7"/>
    <n v="0"/>
    <n v="306830"/>
    <n v="0"/>
    <n v="0"/>
    <n v="0"/>
  </r>
  <r>
    <x v="5"/>
    <x v="0"/>
    <x v="2"/>
    <n v="0"/>
    <n v="0"/>
    <n v="0"/>
    <n v="0"/>
    <s v=""/>
    <s v=""/>
  </r>
  <r>
    <x v="5"/>
    <x v="0"/>
    <x v="3"/>
    <n v="1"/>
    <n v="0"/>
    <n v="196925.18"/>
    <n v="0"/>
    <n v="0"/>
    <n v="0"/>
  </r>
  <r>
    <x v="5"/>
    <x v="0"/>
    <x v="4"/>
    <n v="0"/>
    <n v="0"/>
    <n v="0"/>
    <n v="0"/>
    <s v=""/>
    <s v=""/>
  </r>
  <r>
    <x v="5"/>
    <x v="0"/>
    <x v="5"/>
    <n v="3"/>
    <n v="0"/>
    <n v="76910"/>
    <n v="0"/>
    <n v="0"/>
    <n v="0"/>
  </r>
  <r>
    <x v="5"/>
    <x v="0"/>
    <x v="6"/>
    <n v="3"/>
    <n v="1"/>
    <n v="134394.35"/>
    <n v="51395"/>
    <n v="0.33333333333333331"/>
    <n v="0.38241935021821971"/>
  </r>
  <r>
    <x v="5"/>
    <x v="0"/>
    <x v="7"/>
    <n v="3"/>
    <n v="1"/>
    <n v="169280"/>
    <n v="129740"/>
    <n v="0.33333333333333331"/>
    <n v="0.76642249527410211"/>
  </r>
  <r>
    <x v="5"/>
    <x v="0"/>
    <x v="8"/>
    <n v="0"/>
    <n v="0"/>
    <n v="0"/>
    <n v="0"/>
    <s v=""/>
    <s v=""/>
  </r>
  <r>
    <x v="5"/>
    <x v="0"/>
    <x v="9"/>
    <n v="0"/>
    <n v="0"/>
    <n v="0"/>
    <n v="0"/>
    <s v=""/>
    <s v=""/>
  </r>
  <r>
    <x v="6"/>
    <x v="0"/>
    <x v="0"/>
    <n v="10"/>
    <n v="5"/>
    <n v="891755.6"/>
    <n v="521691"/>
    <n v="0.5"/>
    <n v="0.58501567021278034"/>
  </r>
  <r>
    <x v="6"/>
    <x v="0"/>
    <x v="1"/>
    <n v="6"/>
    <n v="2"/>
    <n v="424292.25"/>
    <n v="200525"/>
    <n v="0.33333333333333331"/>
    <n v="0.47261056500560639"/>
  </r>
  <r>
    <x v="6"/>
    <x v="0"/>
    <x v="2"/>
    <n v="0"/>
    <n v="0"/>
    <n v="0"/>
    <n v="0"/>
    <s v=""/>
    <s v=""/>
  </r>
  <r>
    <x v="6"/>
    <x v="0"/>
    <x v="3"/>
    <n v="1"/>
    <n v="1"/>
    <n v="79180"/>
    <n v="94820"/>
    <n v="1"/>
    <n v="1.1975246274311695"/>
  </r>
  <r>
    <x v="6"/>
    <x v="0"/>
    <x v="4"/>
    <n v="0"/>
    <n v="0"/>
    <n v="0"/>
    <n v="0"/>
    <s v=""/>
    <s v=""/>
  </r>
  <r>
    <x v="6"/>
    <x v="0"/>
    <x v="5"/>
    <n v="4"/>
    <n v="1"/>
    <n v="320660"/>
    <n v="30800"/>
    <n v="0.25"/>
    <n v="9.6051892970747829E-2"/>
  </r>
  <r>
    <x v="6"/>
    <x v="0"/>
    <x v="6"/>
    <n v="2"/>
    <n v="0"/>
    <n v="33685"/>
    <n v="0"/>
    <n v="0"/>
    <n v="0"/>
  </r>
  <r>
    <x v="6"/>
    <x v="0"/>
    <x v="7"/>
    <n v="8"/>
    <n v="5"/>
    <n v="876410"/>
    <n v="542575"/>
    <n v="0.625"/>
    <n v="0.61908809803630716"/>
  </r>
  <r>
    <x v="6"/>
    <x v="0"/>
    <x v="8"/>
    <n v="0"/>
    <n v="0"/>
    <n v="0"/>
    <n v="0"/>
    <s v=""/>
    <s v=""/>
  </r>
  <r>
    <x v="6"/>
    <x v="0"/>
    <x v="9"/>
    <n v="0"/>
    <n v="0"/>
    <n v="0"/>
    <n v="0"/>
    <s v=""/>
    <s v=""/>
  </r>
  <r>
    <x v="7"/>
    <x v="0"/>
    <x v="0"/>
    <n v="5"/>
    <n v="3"/>
    <n v="649000"/>
    <n v="309900"/>
    <n v="0.6"/>
    <n v="0.47750385208012325"/>
  </r>
  <r>
    <x v="7"/>
    <x v="0"/>
    <x v="1"/>
    <n v="5"/>
    <n v="3"/>
    <n v="303433.7"/>
    <n v="164058.88"/>
    <n v="0.6"/>
    <n v="0.54067455262879505"/>
  </r>
  <r>
    <x v="7"/>
    <x v="0"/>
    <x v="2"/>
    <n v="0"/>
    <n v="0"/>
    <n v="0"/>
    <n v="0"/>
    <s v=""/>
    <s v=""/>
  </r>
  <r>
    <x v="7"/>
    <x v="0"/>
    <x v="3"/>
    <n v="0"/>
    <n v="0"/>
    <n v="0"/>
    <n v="0"/>
    <s v=""/>
    <s v=""/>
  </r>
  <r>
    <x v="7"/>
    <x v="0"/>
    <x v="4"/>
    <n v="0"/>
    <n v="0"/>
    <n v="0"/>
    <n v="0"/>
    <s v=""/>
    <s v=""/>
  </r>
  <r>
    <x v="7"/>
    <x v="0"/>
    <x v="5"/>
    <n v="4"/>
    <n v="2"/>
    <n v="225280"/>
    <n v="108120"/>
    <n v="0.5"/>
    <n v="0.47993607954545453"/>
  </r>
  <r>
    <x v="7"/>
    <x v="0"/>
    <x v="6"/>
    <n v="4"/>
    <n v="2"/>
    <n v="292340"/>
    <n v="108905"/>
    <n v="0.5"/>
    <n v="0.37252856263255113"/>
  </r>
  <r>
    <x v="7"/>
    <x v="0"/>
    <x v="7"/>
    <n v="4"/>
    <n v="2"/>
    <n v="466862.13"/>
    <n v="252695"/>
    <n v="0.5"/>
    <n v="0.54126257788353915"/>
  </r>
  <r>
    <x v="7"/>
    <x v="0"/>
    <x v="8"/>
    <n v="0"/>
    <n v="0"/>
    <n v="0"/>
    <n v="0"/>
    <s v=""/>
    <s v=""/>
  </r>
  <r>
    <x v="7"/>
    <x v="0"/>
    <x v="9"/>
    <n v="1"/>
    <n v="0"/>
    <n v="0"/>
    <n v="0"/>
    <n v="0"/>
    <s v=""/>
  </r>
  <r>
    <x v="8"/>
    <x v="0"/>
    <x v="0"/>
    <n v="8"/>
    <n v="3"/>
    <n v="1361540.74"/>
    <n v="234774"/>
    <n v="0.375"/>
    <n v="0.172432592799243"/>
  </r>
  <r>
    <x v="8"/>
    <x v="0"/>
    <x v="1"/>
    <n v="3"/>
    <n v="2"/>
    <n v="206740"/>
    <n v="206440"/>
    <n v="0.66666666666666663"/>
    <n v="0.99854890200251523"/>
  </r>
  <r>
    <x v="8"/>
    <x v="0"/>
    <x v="2"/>
    <n v="0"/>
    <n v="0"/>
    <n v="0"/>
    <n v="0"/>
    <s v=""/>
    <s v=""/>
  </r>
  <r>
    <x v="8"/>
    <x v="0"/>
    <x v="3"/>
    <n v="1"/>
    <n v="0"/>
    <n v="333853.75"/>
    <n v="0"/>
    <n v="0"/>
    <n v="0"/>
  </r>
  <r>
    <x v="8"/>
    <x v="0"/>
    <x v="4"/>
    <n v="0"/>
    <n v="0"/>
    <n v="0"/>
    <n v="0"/>
    <s v=""/>
    <s v=""/>
  </r>
  <r>
    <x v="8"/>
    <x v="0"/>
    <x v="5"/>
    <n v="4"/>
    <n v="1"/>
    <n v="491095"/>
    <n v="223145"/>
    <n v="0.25"/>
    <n v="0.4543825532738065"/>
  </r>
  <r>
    <x v="8"/>
    <x v="0"/>
    <x v="6"/>
    <n v="4"/>
    <n v="3"/>
    <n v="365378.54"/>
    <n v="279686.45"/>
    <n v="0.75"/>
    <n v="0.76547038038960913"/>
  </r>
  <r>
    <x v="8"/>
    <x v="0"/>
    <x v="7"/>
    <n v="6"/>
    <n v="1"/>
    <n v="483370.47"/>
    <n v="142458.97"/>
    <n v="0.16666666666666666"/>
    <n v="0.29472005188897865"/>
  </r>
  <r>
    <x v="8"/>
    <x v="0"/>
    <x v="8"/>
    <n v="0"/>
    <n v="0"/>
    <n v="0"/>
    <n v="0"/>
    <s v=""/>
    <s v=""/>
  </r>
  <r>
    <x v="8"/>
    <x v="0"/>
    <x v="9"/>
    <n v="0"/>
    <n v="0"/>
    <n v="0"/>
    <n v="0"/>
    <s v=""/>
    <s v=""/>
  </r>
  <r>
    <x v="9"/>
    <x v="0"/>
    <x v="0"/>
    <n v="6"/>
    <n v="1"/>
    <n v="401370"/>
    <n v="355915"/>
    <n v="0.16666666666666666"/>
    <n v="0.88675037994867578"/>
  </r>
  <r>
    <x v="9"/>
    <x v="0"/>
    <x v="1"/>
    <n v="1"/>
    <n v="0"/>
    <n v="0"/>
    <n v="0"/>
    <n v="0"/>
    <s v=""/>
  </r>
  <r>
    <x v="9"/>
    <x v="0"/>
    <x v="2"/>
    <n v="1"/>
    <n v="1"/>
    <n v="43951.06"/>
    <n v="57510.64"/>
    <n v="1"/>
    <n v="1.3085154260215794"/>
  </r>
  <r>
    <x v="9"/>
    <x v="0"/>
    <x v="3"/>
    <n v="4"/>
    <n v="2"/>
    <n v="666030.75"/>
    <n v="299100"/>
    <n v="0.5"/>
    <n v="0.44907836462505674"/>
  </r>
  <r>
    <x v="9"/>
    <x v="0"/>
    <x v="4"/>
    <n v="0"/>
    <n v="0"/>
    <n v="0"/>
    <n v="0"/>
    <s v=""/>
    <s v=""/>
  </r>
  <r>
    <x v="9"/>
    <x v="0"/>
    <x v="5"/>
    <n v="10"/>
    <n v="7"/>
    <n v="786826.08"/>
    <n v="624445.80000000005"/>
    <n v="0.7"/>
    <n v="0.79362621025474911"/>
  </r>
  <r>
    <x v="9"/>
    <x v="0"/>
    <x v="6"/>
    <n v="9"/>
    <n v="3"/>
    <n v="874730.7"/>
    <n v="908328.75"/>
    <n v="0.33333333333333331"/>
    <n v="1.0384095928038195"/>
  </r>
  <r>
    <x v="9"/>
    <x v="0"/>
    <x v="7"/>
    <n v="10"/>
    <n v="6"/>
    <n v="913942.22"/>
    <n v="769355"/>
    <n v="0.6"/>
    <n v="0.84179829223777414"/>
  </r>
  <r>
    <x v="9"/>
    <x v="0"/>
    <x v="8"/>
    <n v="0"/>
    <n v="0"/>
    <n v="0"/>
    <n v="0"/>
    <s v=""/>
    <s v=""/>
  </r>
  <r>
    <x v="9"/>
    <x v="0"/>
    <x v="9"/>
    <n v="0"/>
    <n v="0"/>
    <n v="0"/>
    <n v="0"/>
    <s v=""/>
    <s v=""/>
  </r>
  <r>
    <x v="10"/>
    <x v="0"/>
    <x v="0"/>
    <n v="8"/>
    <n v="3"/>
    <n v="577928.5"/>
    <n v="358894"/>
    <n v="0.375"/>
    <n v="0.6210006947226171"/>
  </r>
  <r>
    <x v="10"/>
    <x v="0"/>
    <x v="1"/>
    <n v="0"/>
    <n v="0"/>
    <n v="0"/>
    <n v="0"/>
    <s v=""/>
    <s v=""/>
  </r>
  <r>
    <x v="10"/>
    <x v="0"/>
    <x v="2"/>
    <n v="3"/>
    <n v="2"/>
    <n v="330376.46999999997"/>
    <n v="156480"/>
    <n v="0.66666666666666663"/>
    <n v="0.47364147937048912"/>
  </r>
  <r>
    <x v="10"/>
    <x v="0"/>
    <x v="3"/>
    <n v="0"/>
    <n v="0"/>
    <n v="0"/>
    <n v="0"/>
    <s v=""/>
    <s v=""/>
  </r>
  <r>
    <x v="10"/>
    <x v="0"/>
    <x v="4"/>
    <n v="0"/>
    <n v="0"/>
    <n v="0"/>
    <n v="0"/>
    <s v=""/>
    <s v=""/>
  </r>
  <r>
    <x v="10"/>
    <x v="0"/>
    <x v="5"/>
    <n v="0"/>
    <n v="0"/>
    <n v="0"/>
    <n v="0"/>
    <s v=""/>
    <s v=""/>
  </r>
  <r>
    <x v="10"/>
    <x v="0"/>
    <x v="6"/>
    <n v="10"/>
    <n v="4"/>
    <n v="271490"/>
    <n v="227030"/>
    <n v="0.4"/>
    <n v="0.83623706213856863"/>
  </r>
  <r>
    <x v="10"/>
    <x v="0"/>
    <x v="7"/>
    <n v="3"/>
    <n v="1"/>
    <n v="387345"/>
    <n v="69190"/>
    <n v="0.33333333333333331"/>
    <n v="0.17862628922536758"/>
  </r>
  <r>
    <x v="10"/>
    <x v="0"/>
    <x v="8"/>
    <n v="0"/>
    <n v="0"/>
    <n v="0"/>
    <n v="0"/>
    <s v=""/>
    <s v=""/>
  </r>
  <r>
    <x v="10"/>
    <x v="0"/>
    <x v="9"/>
    <n v="0"/>
    <n v="0"/>
    <n v="0"/>
    <n v="0"/>
    <s v=""/>
    <s v=""/>
  </r>
  <r>
    <x v="11"/>
    <x v="0"/>
    <x v="0"/>
    <n v="7"/>
    <n v="1"/>
    <n v="169720"/>
    <n v="55000"/>
    <n v="0.14285714285714285"/>
    <n v="0.32406316285646947"/>
  </r>
  <r>
    <x v="11"/>
    <x v="0"/>
    <x v="1"/>
    <n v="0"/>
    <n v="0"/>
    <n v="0"/>
    <n v="0"/>
    <s v=""/>
    <s v=""/>
  </r>
  <r>
    <x v="11"/>
    <x v="0"/>
    <x v="2"/>
    <n v="6"/>
    <n v="2"/>
    <n v="488381.91"/>
    <n v="133822.34"/>
    <n v="0.33333333333333331"/>
    <n v="0.27401166435505364"/>
  </r>
  <r>
    <x v="11"/>
    <x v="0"/>
    <x v="3"/>
    <n v="1"/>
    <n v="0"/>
    <n v="50640"/>
    <n v="0"/>
    <n v="0"/>
    <n v="0"/>
  </r>
  <r>
    <x v="11"/>
    <x v="0"/>
    <x v="4"/>
    <n v="1"/>
    <n v="1"/>
    <n v="98492"/>
    <n v="109442.52"/>
    <n v="1"/>
    <n v="1.1111818218738578"/>
  </r>
  <r>
    <x v="11"/>
    <x v="0"/>
    <x v="5"/>
    <n v="4"/>
    <n v="1"/>
    <n v="113060"/>
    <n v="67850"/>
    <n v="0.25"/>
    <n v="0.60012382805589948"/>
  </r>
  <r>
    <x v="11"/>
    <x v="0"/>
    <x v="6"/>
    <n v="12"/>
    <n v="4"/>
    <n v="554051"/>
    <n v="200088.3"/>
    <n v="0.33333333333333331"/>
    <n v="0.36113697114525556"/>
  </r>
  <r>
    <x v="11"/>
    <x v="0"/>
    <x v="7"/>
    <n v="9"/>
    <n v="5"/>
    <n v="960450"/>
    <n v="759775"/>
    <n v="0.55555555555555558"/>
    <n v="0.79106148159716805"/>
  </r>
  <r>
    <x v="11"/>
    <x v="0"/>
    <x v="8"/>
    <n v="0"/>
    <n v="0"/>
    <n v="0"/>
    <n v="0"/>
    <s v=""/>
    <s v=""/>
  </r>
  <r>
    <x v="11"/>
    <x v="0"/>
    <x v="9"/>
    <n v="0"/>
    <n v="0"/>
    <n v="0"/>
    <n v="0"/>
    <s v=""/>
    <s v=""/>
  </r>
  <r>
    <x v="0"/>
    <x v="1"/>
    <x v="0"/>
    <n v="8"/>
    <n v="0"/>
    <n v="260862"/>
    <n v="0"/>
    <n v="0"/>
    <n v="0"/>
  </r>
  <r>
    <x v="0"/>
    <x v="1"/>
    <x v="1"/>
    <n v="1"/>
    <n v="0"/>
    <n v="52240"/>
    <n v="0"/>
    <n v="0"/>
    <n v="0"/>
  </r>
  <r>
    <x v="0"/>
    <x v="1"/>
    <x v="2"/>
    <n v="0"/>
    <n v="0"/>
    <n v="0"/>
    <n v="0"/>
    <s v=""/>
    <s v=""/>
  </r>
  <r>
    <x v="0"/>
    <x v="1"/>
    <x v="3"/>
    <n v="2"/>
    <n v="0"/>
    <n v="41025"/>
    <n v="0"/>
    <n v="0"/>
    <n v="0"/>
  </r>
  <r>
    <x v="0"/>
    <x v="1"/>
    <x v="4"/>
    <n v="0"/>
    <n v="0"/>
    <n v="0"/>
    <n v="0"/>
    <s v=""/>
    <s v=""/>
  </r>
  <r>
    <x v="0"/>
    <x v="1"/>
    <x v="5"/>
    <n v="1"/>
    <n v="0"/>
    <n v="82800"/>
    <n v="0"/>
    <n v="0"/>
    <n v="0"/>
  </r>
  <r>
    <x v="0"/>
    <x v="1"/>
    <x v="6"/>
    <n v="0"/>
    <n v="0"/>
    <n v="0"/>
    <n v="0"/>
    <s v=""/>
    <s v=""/>
  </r>
  <r>
    <x v="0"/>
    <x v="1"/>
    <x v="7"/>
    <n v="2"/>
    <n v="1"/>
    <n v="108095"/>
    <n v="73380"/>
    <n v="0.5"/>
    <n v="0.67884731023636613"/>
  </r>
  <r>
    <x v="0"/>
    <x v="1"/>
    <x v="8"/>
    <n v="0"/>
    <n v="0"/>
    <n v="0"/>
    <n v="0"/>
    <s v=""/>
    <s v=""/>
  </r>
  <r>
    <x v="0"/>
    <x v="1"/>
    <x v="9"/>
    <n v="0"/>
    <n v="0"/>
    <n v="0"/>
    <n v="0"/>
    <s v=""/>
    <s v=""/>
  </r>
  <r>
    <x v="1"/>
    <x v="1"/>
    <x v="0"/>
    <n v="16"/>
    <n v="2"/>
    <n v="891335"/>
    <n v="166275"/>
    <n v="0.125"/>
    <n v="0.18654602366113751"/>
  </r>
  <r>
    <x v="1"/>
    <x v="1"/>
    <x v="1"/>
    <n v="12"/>
    <n v="0"/>
    <n v="1229435"/>
    <n v="0"/>
    <n v="0"/>
    <n v="0"/>
  </r>
  <r>
    <x v="1"/>
    <x v="1"/>
    <x v="2"/>
    <n v="0"/>
    <n v="0"/>
    <n v="0"/>
    <n v="0"/>
    <s v=""/>
    <s v=""/>
  </r>
  <r>
    <x v="1"/>
    <x v="1"/>
    <x v="3"/>
    <n v="6"/>
    <n v="0"/>
    <n v="147140"/>
    <n v="0"/>
    <n v="0"/>
    <n v="0"/>
  </r>
  <r>
    <x v="1"/>
    <x v="1"/>
    <x v="4"/>
    <n v="0"/>
    <n v="0"/>
    <n v="0"/>
    <n v="0"/>
    <s v=""/>
    <s v=""/>
  </r>
  <r>
    <x v="1"/>
    <x v="1"/>
    <x v="5"/>
    <n v="4"/>
    <n v="0"/>
    <n v="137125"/>
    <n v="0"/>
    <n v="0"/>
    <n v="0"/>
  </r>
  <r>
    <x v="1"/>
    <x v="1"/>
    <x v="6"/>
    <n v="1"/>
    <n v="0"/>
    <n v="38295"/>
    <n v="0"/>
    <n v="0"/>
    <n v="0"/>
  </r>
  <r>
    <x v="1"/>
    <x v="1"/>
    <x v="7"/>
    <n v="5"/>
    <n v="2"/>
    <n v="446712.76"/>
    <n v="96345"/>
    <n v="0.4"/>
    <n v="0.21567550476955258"/>
  </r>
  <r>
    <x v="1"/>
    <x v="1"/>
    <x v="8"/>
    <n v="0"/>
    <n v="0"/>
    <n v="0"/>
    <n v="0"/>
    <s v=""/>
    <s v=""/>
  </r>
  <r>
    <x v="1"/>
    <x v="1"/>
    <x v="9"/>
    <n v="0"/>
    <n v="0"/>
    <n v="0"/>
    <n v="0"/>
    <s v=""/>
    <s v=""/>
  </r>
  <r>
    <x v="2"/>
    <x v="1"/>
    <x v="0"/>
    <n v="3"/>
    <n v="1"/>
    <n v="95750"/>
    <n v="67774.080000000002"/>
    <n v="0.33333333333333331"/>
    <n v="0.70782328981723242"/>
  </r>
  <r>
    <x v="2"/>
    <x v="1"/>
    <x v="1"/>
    <n v="0"/>
    <n v="0"/>
    <n v="0"/>
    <n v="0"/>
    <s v=""/>
    <s v=""/>
  </r>
  <r>
    <x v="2"/>
    <x v="1"/>
    <x v="2"/>
    <n v="1"/>
    <n v="0"/>
    <n v="0"/>
    <n v="0"/>
    <n v="0"/>
    <s v=""/>
  </r>
  <r>
    <x v="2"/>
    <x v="1"/>
    <x v="3"/>
    <n v="0"/>
    <n v="0"/>
    <n v="0"/>
    <n v="0"/>
    <s v=""/>
    <s v=""/>
  </r>
  <r>
    <x v="2"/>
    <x v="1"/>
    <x v="4"/>
    <n v="0"/>
    <n v="0"/>
    <n v="0"/>
    <n v="0"/>
    <s v=""/>
    <s v=""/>
  </r>
  <r>
    <x v="2"/>
    <x v="1"/>
    <x v="5"/>
    <n v="4"/>
    <n v="0"/>
    <n v="193877"/>
    <n v="0"/>
    <n v="0"/>
    <n v="0"/>
  </r>
  <r>
    <x v="2"/>
    <x v="1"/>
    <x v="6"/>
    <n v="1"/>
    <n v="1"/>
    <n v="48000"/>
    <n v="55225"/>
    <n v="1"/>
    <n v="1.1505208333333334"/>
  </r>
  <r>
    <x v="2"/>
    <x v="1"/>
    <x v="7"/>
    <n v="5"/>
    <n v="0"/>
    <n v="423213.5"/>
    <n v="0"/>
    <n v="0"/>
    <n v="0"/>
  </r>
  <r>
    <x v="2"/>
    <x v="1"/>
    <x v="8"/>
    <n v="0"/>
    <n v="0"/>
    <n v="0"/>
    <n v="0"/>
    <s v=""/>
    <s v=""/>
  </r>
  <r>
    <x v="2"/>
    <x v="1"/>
    <x v="9"/>
    <n v="0"/>
    <n v="0"/>
    <n v="0"/>
    <n v="0"/>
    <s v=""/>
    <s v=""/>
  </r>
  <r>
    <x v="3"/>
    <x v="1"/>
    <x v="0"/>
    <n v="4"/>
    <n v="1"/>
    <n v="364780"/>
    <n v="40200"/>
    <n v="0.25"/>
    <n v="0.11020341027468611"/>
  </r>
  <r>
    <x v="3"/>
    <x v="1"/>
    <x v="1"/>
    <n v="3"/>
    <n v="0"/>
    <n v="127200"/>
    <n v="0"/>
    <n v="0"/>
    <n v="0"/>
  </r>
  <r>
    <x v="3"/>
    <x v="1"/>
    <x v="2"/>
    <n v="1"/>
    <n v="0"/>
    <n v="0"/>
    <n v="0"/>
    <n v="0"/>
    <s v=""/>
  </r>
  <r>
    <x v="3"/>
    <x v="1"/>
    <x v="3"/>
    <n v="0"/>
    <n v="0"/>
    <n v="0"/>
    <n v="0"/>
    <s v=""/>
    <s v=""/>
  </r>
  <r>
    <x v="3"/>
    <x v="1"/>
    <x v="4"/>
    <n v="0"/>
    <n v="0"/>
    <n v="0"/>
    <n v="0"/>
    <s v=""/>
    <s v=""/>
  </r>
  <r>
    <x v="3"/>
    <x v="1"/>
    <x v="5"/>
    <n v="4"/>
    <n v="1"/>
    <n v="92925"/>
    <n v="17740"/>
    <n v="0.25"/>
    <n v="0.19090664514393327"/>
  </r>
  <r>
    <x v="3"/>
    <x v="1"/>
    <x v="6"/>
    <n v="0"/>
    <n v="0"/>
    <n v="0"/>
    <n v="0"/>
    <s v=""/>
    <s v=""/>
  </r>
  <r>
    <x v="3"/>
    <x v="1"/>
    <x v="7"/>
    <n v="3"/>
    <n v="0"/>
    <n v="42830"/>
    <n v="0"/>
    <n v="0"/>
    <n v="0"/>
  </r>
  <r>
    <x v="3"/>
    <x v="1"/>
    <x v="8"/>
    <n v="0"/>
    <n v="0"/>
    <n v="0"/>
    <n v="0"/>
    <s v=""/>
    <s v=""/>
  </r>
  <r>
    <x v="3"/>
    <x v="1"/>
    <x v="9"/>
    <n v="0"/>
    <n v="0"/>
    <n v="0"/>
    <n v="0"/>
    <s v=""/>
    <s v=""/>
  </r>
  <r>
    <x v="4"/>
    <x v="1"/>
    <x v="0"/>
    <n v="6"/>
    <n v="0"/>
    <n v="609590.9"/>
    <n v="0"/>
    <n v="0"/>
    <n v="0"/>
  </r>
  <r>
    <x v="4"/>
    <x v="1"/>
    <x v="1"/>
    <n v="2"/>
    <n v="0"/>
    <n v="478740"/>
    <n v="0"/>
    <n v="0"/>
    <n v="0"/>
  </r>
  <r>
    <x v="4"/>
    <x v="1"/>
    <x v="2"/>
    <n v="1"/>
    <n v="0"/>
    <n v="1425"/>
    <n v="0"/>
    <n v="0"/>
    <n v="0"/>
  </r>
  <r>
    <x v="4"/>
    <x v="1"/>
    <x v="3"/>
    <n v="0"/>
    <n v="0"/>
    <n v="0"/>
    <n v="0"/>
    <s v=""/>
    <s v=""/>
  </r>
  <r>
    <x v="4"/>
    <x v="1"/>
    <x v="4"/>
    <n v="0"/>
    <n v="0"/>
    <n v="0"/>
    <n v="0"/>
    <s v=""/>
    <s v=""/>
  </r>
  <r>
    <x v="4"/>
    <x v="1"/>
    <x v="5"/>
    <n v="5"/>
    <n v="0"/>
    <n v="261895"/>
    <n v="0"/>
    <n v="0"/>
    <n v="0"/>
  </r>
  <r>
    <x v="4"/>
    <x v="1"/>
    <x v="6"/>
    <n v="0"/>
    <n v="0"/>
    <n v="0"/>
    <n v="0"/>
    <s v=""/>
    <s v=""/>
  </r>
  <r>
    <x v="4"/>
    <x v="1"/>
    <x v="7"/>
    <n v="1"/>
    <n v="0"/>
    <n v="49795"/>
    <n v="0"/>
    <n v="0"/>
    <n v="0"/>
  </r>
  <r>
    <x v="4"/>
    <x v="1"/>
    <x v="8"/>
    <n v="0"/>
    <n v="0"/>
    <n v="0"/>
    <n v="0"/>
    <s v=""/>
    <s v=""/>
  </r>
  <r>
    <x v="4"/>
    <x v="1"/>
    <x v="9"/>
    <n v="0"/>
    <n v="0"/>
    <n v="0"/>
    <n v="0"/>
    <s v=""/>
    <s v=""/>
  </r>
  <r>
    <x v="5"/>
    <x v="1"/>
    <x v="0"/>
    <n v="5"/>
    <n v="1"/>
    <n v="678208.5"/>
    <n v="38632.5"/>
    <n v="0.2"/>
    <n v="5.6962571244683603E-2"/>
  </r>
  <r>
    <x v="5"/>
    <x v="1"/>
    <x v="1"/>
    <n v="0"/>
    <n v="0"/>
    <n v="0"/>
    <n v="0"/>
    <s v=""/>
    <s v=""/>
  </r>
  <r>
    <x v="5"/>
    <x v="1"/>
    <x v="2"/>
    <n v="0"/>
    <n v="0"/>
    <n v="0"/>
    <n v="0"/>
    <s v=""/>
    <s v=""/>
  </r>
  <r>
    <x v="5"/>
    <x v="1"/>
    <x v="3"/>
    <n v="1"/>
    <n v="0"/>
    <n v="0"/>
    <n v="0"/>
    <n v="0"/>
    <s v=""/>
  </r>
  <r>
    <x v="5"/>
    <x v="1"/>
    <x v="4"/>
    <n v="0"/>
    <n v="0"/>
    <n v="0"/>
    <n v="0"/>
    <s v=""/>
    <s v=""/>
  </r>
  <r>
    <x v="5"/>
    <x v="1"/>
    <x v="5"/>
    <n v="2"/>
    <n v="0"/>
    <n v="131860"/>
    <n v="0"/>
    <n v="0"/>
    <n v="0"/>
  </r>
  <r>
    <x v="5"/>
    <x v="1"/>
    <x v="6"/>
    <n v="0"/>
    <n v="0"/>
    <n v="0"/>
    <n v="0"/>
    <s v=""/>
    <s v=""/>
  </r>
  <r>
    <x v="5"/>
    <x v="1"/>
    <x v="7"/>
    <n v="2"/>
    <n v="0"/>
    <n v="205000"/>
    <n v="0"/>
    <n v="0"/>
    <n v="0"/>
  </r>
  <r>
    <x v="5"/>
    <x v="1"/>
    <x v="8"/>
    <n v="0"/>
    <n v="0"/>
    <n v="0"/>
    <n v="0"/>
    <s v=""/>
    <s v=""/>
  </r>
  <r>
    <x v="5"/>
    <x v="1"/>
    <x v="9"/>
    <n v="0"/>
    <n v="0"/>
    <n v="0"/>
    <n v="0"/>
    <s v=""/>
    <s v=""/>
  </r>
  <r>
    <x v="6"/>
    <x v="1"/>
    <x v="0"/>
    <n v="3"/>
    <n v="0"/>
    <n v="230686"/>
    <n v="0"/>
    <n v="0"/>
    <n v="0"/>
  </r>
  <r>
    <x v="6"/>
    <x v="1"/>
    <x v="1"/>
    <n v="7"/>
    <n v="0"/>
    <n v="306830"/>
    <n v="0"/>
    <n v="0"/>
    <n v="0"/>
  </r>
  <r>
    <x v="6"/>
    <x v="1"/>
    <x v="2"/>
    <n v="0"/>
    <n v="0"/>
    <n v="0"/>
    <n v="0"/>
    <s v=""/>
    <s v=""/>
  </r>
  <r>
    <x v="6"/>
    <x v="1"/>
    <x v="3"/>
    <n v="1"/>
    <n v="0"/>
    <n v="196925.18"/>
    <n v="0"/>
    <n v="0"/>
    <n v="0"/>
  </r>
  <r>
    <x v="6"/>
    <x v="1"/>
    <x v="4"/>
    <n v="0"/>
    <n v="0"/>
    <n v="0"/>
    <n v="0"/>
    <s v=""/>
    <s v=""/>
  </r>
  <r>
    <x v="6"/>
    <x v="1"/>
    <x v="5"/>
    <n v="3"/>
    <n v="1"/>
    <n v="76910"/>
    <n v="38900"/>
    <n v="0.33333333333333331"/>
    <n v="0.50578598361721494"/>
  </r>
  <r>
    <x v="6"/>
    <x v="1"/>
    <x v="6"/>
    <n v="2"/>
    <n v="1"/>
    <n v="134394.35"/>
    <n v="69385"/>
    <n v="0.5"/>
    <n v="0.51627914417533172"/>
  </r>
  <r>
    <x v="6"/>
    <x v="1"/>
    <x v="7"/>
    <n v="2"/>
    <n v="0"/>
    <n v="74580"/>
    <n v="0"/>
    <n v="0"/>
    <n v="0"/>
  </r>
  <r>
    <x v="6"/>
    <x v="1"/>
    <x v="8"/>
    <n v="0"/>
    <n v="0"/>
    <n v="0"/>
    <n v="0"/>
    <s v=""/>
    <s v=""/>
  </r>
  <r>
    <x v="6"/>
    <x v="1"/>
    <x v="9"/>
    <n v="0"/>
    <n v="0"/>
    <n v="0"/>
    <n v="0"/>
    <s v=""/>
    <s v=""/>
  </r>
  <r>
    <x v="7"/>
    <x v="1"/>
    <x v="0"/>
    <n v="5"/>
    <n v="0"/>
    <n v="492017.6"/>
    <n v="0"/>
    <n v="0"/>
    <n v="0"/>
  </r>
  <r>
    <x v="7"/>
    <x v="1"/>
    <x v="1"/>
    <n v="4"/>
    <n v="0"/>
    <n v="270787.25"/>
    <n v="0"/>
    <n v="0"/>
    <n v="0"/>
  </r>
  <r>
    <x v="7"/>
    <x v="1"/>
    <x v="2"/>
    <n v="0"/>
    <n v="0"/>
    <n v="0"/>
    <n v="0"/>
    <s v=""/>
    <s v=""/>
  </r>
  <r>
    <x v="7"/>
    <x v="1"/>
    <x v="3"/>
    <n v="0"/>
    <n v="0"/>
    <n v="0"/>
    <n v="0"/>
    <s v=""/>
    <s v=""/>
  </r>
  <r>
    <x v="7"/>
    <x v="1"/>
    <x v="4"/>
    <n v="0"/>
    <n v="0"/>
    <n v="0"/>
    <n v="0"/>
    <s v=""/>
    <s v=""/>
  </r>
  <r>
    <x v="7"/>
    <x v="1"/>
    <x v="5"/>
    <n v="3"/>
    <n v="0"/>
    <n v="276495"/>
    <n v="0"/>
    <n v="0"/>
    <n v="0"/>
  </r>
  <r>
    <x v="7"/>
    <x v="1"/>
    <x v="6"/>
    <n v="2"/>
    <n v="1"/>
    <n v="33685"/>
    <n v="52315"/>
    <n v="0.5"/>
    <n v="1.5530651625352532"/>
  </r>
  <r>
    <x v="7"/>
    <x v="1"/>
    <x v="7"/>
    <n v="3"/>
    <n v="0"/>
    <n v="379515"/>
    <n v="0"/>
    <n v="0"/>
    <n v="0"/>
  </r>
  <r>
    <x v="7"/>
    <x v="1"/>
    <x v="8"/>
    <n v="0"/>
    <n v="0"/>
    <n v="0"/>
    <n v="0"/>
    <s v=""/>
    <s v=""/>
  </r>
  <r>
    <x v="7"/>
    <x v="1"/>
    <x v="9"/>
    <n v="0"/>
    <n v="0"/>
    <n v="0"/>
    <n v="0"/>
    <s v=""/>
    <s v=""/>
  </r>
  <r>
    <x v="8"/>
    <x v="1"/>
    <x v="0"/>
    <n v="2"/>
    <n v="0"/>
    <n v="274500"/>
    <n v="0"/>
    <n v="0"/>
    <n v="0"/>
  </r>
  <r>
    <x v="8"/>
    <x v="1"/>
    <x v="1"/>
    <n v="2"/>
    <n v="0"/>
    <n v="38632.5"/>
    <n v="0"/>
    <n v="0"/>
    <n v="0"/>
  </r>
  <r>
    <x v="8"/>
    <x v="1"/>
    <x v="2"/>
    <n v="0"/>
    <n v="0"/>
    <n v="0"/>
    <n v="0"/>
    <s v=""/>
    <s v=""/>
  </r>
  <r>
    <x v="8"/>
    <x v="1"/>
    <x v="3"/>
    <n v="0"/>
    <n v="0"/>
    <n v="0"/>
    <n v="0"/>
    <s v=""/>
    <s v=""/>
  </r>
  <r>
    <x v="8"/>
    <x v="1"/>
    <x v="4"/>
    <n v="0"/>
    <n v="0"/>
    <n v="0"/>
    <n v="0"/>
    <s v=""/>
    <s v=""/>
  </r>
  <r>
    <x v="8"/>
    <x v="1"/>
    <x v="5"/>
    <n v="2"/>
    <n v="0"/>
    <n v="121555"/>
    <n v="0"/>
    <n v="0"/>
    <n v="0"/>
  </r>
  <r>
    <x v="8"/>
    <x v="1"/>
    <x v="6"/>
    <n v="2"/>
    <n v="0"/>
    <n v="181410"/>
    <n v="0"/>
    <n v="0"/>
    <n v="0"/>
  </r>
  <r>
    <x v="8"/>
    <x v="1"/>
    <x v="7"/>
    <n v="2"/>
    <n v="0"/>
    <n v="139642.13"/>
    <n v="0"/>
    <n v="0"/>
    <n v="0"/>
  </r>
  <r>
    <x v="8"/>
    <x v="1"/>
    <x v="8"/>
    <n v="0"/>
    <n v="0"/>
    <n v="0"/>
    <n v="0"/>
    <s v=""/>
    <s v=""/>
  </r>
  <r>
    <x v="8"/>
    <x v="1"/>
    <x v="9"/>
    <n v="1"/>
    <n v="0"/>
    <n v="0"/>
    <n v="0"/>
    <n v="0"/>
    <s v=""/>
  </r>
  <r>
    <x v="9"/>
    <x v="1"/>
    <x v="0"/>
    <n v="5"/>
    <n v="1"/>
    <n v="1135125"/>
    <n v="82020"/>
    <n v="0.2"/>
    <n v="7.2256359431780645E-2"/>
  </r>
  <r>
    <x v="9"/>
    <x v="1"/>
    <x v="1"/>
    <n v="1"/>
    <n v="0"/>
    <n v="0"/>
    <n v="0"/>
    <n v="0"/>
    <s v=""/>
  </r>
  <r>
    <x v="9"/>
    <x v="1"/>
    <x v="2"/>
    <n v="0"/>
    <n v="0"/>
    <n v="0"/>
    <n v="0"/>
    <s v=""/>
    <s v=""/>
  </r>
  <r>
    <x v="9"/>
    <x v="1"/>
    <x v="3"/>
    <n v="1"/>
    <n v="0"/>
    <n v="333853.75"/>
    <n v="0"/>
    <n v="0"/>
    <n v="0"/>
  </r>
  <r>
    <x v="9"/>
    <x v="1"/>
    <x v="4"/>
    <n v="0"/>
    <n v="0"/>
    <n v="0"/>
    <n v="0"/>
    <s v=""/>
    <s v=""/>
  </r>
  <r>
    <x v="9"/>
    <x v="1"/>
    <x v="5"/>
    <n v="3"/>
    <n v="1"/>
    <n v="262750"/>
    <n v="163359"/>
    <n v="0.33333333333333331"/>
    <n v="0.62172787821122744"/>
  </r>
  <r>
    <x v="9"/>
    <x v="1"/>
    <x v="6"/>
    <n v="1"/>
    <n v="0"/>
    <n v="121930"/>
    <n v="0"/>
    <n v="0"/>
    <n v="0"/>
  </r>
  <r>
    <x v="9"/>
    <x v="1"/>
    <x v="7"/>
    <n v="5"/>
    <n v="0"/>
    <n v="329486.37"/>
    <n v="0"/>
    <n v="0"/>
    <n v="0"/>
  </r>
  <r>
    <x v="9"/>
    <x v="1"/>
    <x v="8"/>
    <n v="0"/>
    <n v="0"/>
    <n v="0"/>
    <n v="0"/>
    <s v=""/>
    <s v=""/>
  </r>
  <r>
    <x v="9"/>
    <x v="1"/>
    <x v="9"/>
    <n v="0"/>
    <n v="0"/>
    <n v="0"/>
    <n v="0"/>
    <s v=""/>
    <s v=""/>
  </r>
  <r>
    <x v="10"/>
    <x v="1"/>
    <x v="0"/>
    <n v="5"/>
    <n v="0"/>
    <n v="210185"/>
    <n v="0"/>
    <n v="0"/>
    <n v="0"/>
  </r>
  <r>
    <x v="10"/>
    <x v="1"/>
    <x v="1"/>
    <n v="1"/>
    <n v="0"/>
    <n v="0"/>
    <n v="0"/>
    <n v="0"/>
    <s v=""/>
  </r>
  <r>
    <x v="10"/>
    <x v="1"/>
    <x v="2"/>
    <n v="0"/>
    <n v="0"/>
    <n v="0"/>
    <n v="0"/>
    <s v=""/>
    <s v=""/>
  </r>
  <r>
    <x v="10"/>
    <x v="1"/>
    <x v="3"/>
    <n v="2"/>
    <n v="0"/>
    <n v="337060.75"/>
    <n v="0"/>
    <n v="0"/>
    <n v="0"/>
  </r>
  <r>
    <x v="10"/>
    <x v="1"/>
    <x v="4"/>
    <n v="0"/>
    <n v="0"/>
    <n v="0"/>
    <n v="0"/>
    <s v=""/>
    <s v=""/>
  </r>
  <r>
    <x v="10"/>
    <x v="1"/>
    <x v="5"/>
    <n v="3"/>
    <n v="1"/>
    <n v="112728.26"/>
    <n v="21400"/>
    <n v="0.33333333333333331"/>
    <n v="0.18983704707231355"/>
  </r>
  <r>
    <x v="10"/>
    <x v="1"/>
    <x v="6"/>
    <n v="6"/>
    <n v="0"/>
    <n v="178271.45"/>
    <n v="0"/>
    <n v="0"/>
    <n v="0"/>
  </r>
  <r>
    <x v="10"/>
    <x v="1"/>
    <x v="7"/>
    <n v="4"/>
    <n v="0"/>
    <n v="292147.21999999997"/>
    <n v="0"/>
    <n v="0"/>
    <n v="0"/>
  </r>
  <r>
    <x v="10"/>
    <x v="1"/>
    <x v="8"/>
    <n v="0"/>
    <n v="0"/>
    <n v="0"/>
    <n v="0"/>
    <s v=""/>
    <s v=""/>
  </r>
  <r>
    <x v="10"/>
    <x v="1"/>
    <x v="9"/>
    <n v="0"/>
    <n v="0"/>
    <n v="0"/>
    <n v="0"/>
    <s v=""/>
    <s v=""/>
  </r>
  <r>
    <x v="11"/>
    <x v="1"/>
    <x v="0"/>
    <n v="5"/>
    <n v="1"/>
    <n v="180547.5"/>
    <n v="87540"/>
    <n v="0.2"/>
    <n v="0.48485855522784865"/>
  </r>
  <r>
    <x v="11"/>
    <x v="1"/>
    <x v="1"/>
    <n v="0"/>
    <n v="0"/>
    <n v="0"/>
    <n v="0"/>
    <s v=""/>
    <s v=""/>
  </r>
  <r>
    <x v="11"/>
    <x v="1"/>
    <x v="2"/>
    <n v="1"/>
    <n v="0"/>
    <n v="166250"/>
    <n v="0"/>
    <n v="0"/>
    <n v="0"/>
  </r>
  <r>
    <x v="11"/>
    <x v="1"/>
    <x v="3"/>
    <n v="0"/>
    <n v="0"/>
    <n v="0"/>
    <n v="0"/>
    <s v=""/>
    <s v=""/>
  </r>
  <r>
    <x v="11"/>
    <x v="1"/>
    <x v="4"/>
    <n v="0"/>
    <n v="0"/>
    <n v="0"/>
    <n v="0"/>
    <s v=""/>
    <s v=""/>
  </r>
  <r>
    <x v="11"/>
    <x v="1"/>
    <x v="5"/>
    <n v="0"/>
    <n v="0"/>
    <n v="0"/>
    <n v="0"/>
    <s v=""/>
    <s v=""/>
  </r>
  <r>
    <x v="11"/>
    <x v="1"/>
    <x v="6"/>
    <n v="6"/>
    <n v="1"/>
    <n v="67515"/>
    <n v="26900"/>
    <n v="0.16666666666666666"/>
    <n v="0.3984299785232911"/>
  </r>
  <r>
    <x v="11"/>
    <x v="1"/>
    <x v="7"/>
    <n v="2"/>
    <n v="0"/>
    <n v="321645"/>
    <n v="0"/>
    <n v="0"/>
    <n v="0"/>
  </r>
  <r>
    <x v="11"/>
    <x v="1"/>
    <x v="8"/>
    <n v="0"/>
    <n v="0"/>
    <n v="0"/>
    <n v="0"/>
    <s v=""/>
    <s v=""/>
  </r>
  <r>
    <x v="11"/>
    <x v="1"/>
    <x v="9"/>
    <n v="0"/>
    <n v="0"/>
    <n v="0"/>
    <n v="0"/>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FDFA0A-9AF3-47D4-AAC2-0650B1B7AF59}" name="MainPivot" cacheId="15" applyNumberFormats="0" applyBorderFormats="0" applyFontFormats="0" applyPatternFormats="0" applyAlignmentFormats="0" applyWidthHeightFormats="1" dataCaption="Values" updatedVersion="8" minRefreshableVersion="3" showDrill="0" useAutoFormatting="1" itemPrintTitles="1" createdVersion="8" indent="0" showHeaders="0" outline="1" outlineData="1" multipleFieldFilters="0">
  <location ref="W34:AW46" firstHeaderRow="0" firstDataRow="2" firstDataCol="1"/>
  <pivotFields count="9">
    <pivotField axis="axisCol" showAll="0">
      <items count="13">
        <item x="7"/>
        <item x="3"/>
        <item x="11"/>
        <item x="6"/>
        <item x="5"/>
        <item x="4"/>
        <item x="2"/>
        <item x="10"/>
        <item x="9"/>
        <item x="8"/>
        <item x="1"/>
        <item x="0"/>
        <item t="default"/>
      </items>
    </pivotField>
    <pivotField multipleItemSelectionAllowed="1" showAll="0">
      <items count="3">
        <item x="0"/>
        <item x="1"/>
        <item t="default"/>
      </items>
    </pivotField>
    <pivotField axis="axisRow" showAll="0" sortType="descending">
      <items count="11">
        <item x="8"/>
        <item x="7"/>
        <item x="6"/>
        <item x="5"/>
        <item x="4"/>
        <item x="3"/>
        <item x="2"/>
        <item x="1"/>
        <item x="0"/>
        <item x="9"/>
        <item t="default"/>
      </items>
    </pivotField>
    <pivotField numFmtId="3" showAll="0"/>
    <pivotField numFmtId="3" showAll="0"/>
    <pivotField dataField="1" numFmtId="165" showAll="0"/>
    <pivotField dataField="1" numFmtId="165" showAll="0"/>
    <pivotField showAll="0"/>
    <pivotField showAll="0"/>
  </pivotFields>
  <rowFields count="1">
    <field x="2"/>
  </rowFields>
  <rowItems count="11">
    <i>
      <x/>
    </i>
    <i>
      <x v="1"/>
    </i>
    <i>
      <x v="2"/>
    </i>
    <i>
      <x v="3"/>
    </i>
    <i>
      <x v="4"/>
    </i>
    <i>
      <x v="5"/>
    </i>
    <i>
      <x v="6"/>
    </i>
    <i>
      <x v="7"/>
    </i>
    <i>
      <x v="8"/>
    </i>
    <i>
      <x v="9"/>
    </i>
    <i t="grand">
      <x/>
    </i>
  </rowItems>
  <colFields count="2">
    <field x="0"/>
    <field x="-2"/>
  </colFields>
  <colItems count="26">
    <i>
      <x/>
      <x/>
    </i>
    <i r="1" i="1">
      <x v="1"/>
    </i>
    <i>
      <x v="1"/>
      <x/>
    </i>
    <i r="1" i="1">
      <x v="1"/>
    </i>
    <i>
      <x v="2"/>
      <x/>
    </i>
    <i r="1" i="1">
      <x v="1"/>
    </i>
    <i>
      <x v="3"/>
      <x/>
    </i>
    <i r="1" i="1">
      <x v="1"/>
    </i>
    <i>
      <x v="4"/>
      <x/>
    </i>
    <i r="1" i="1">
      <x v="1"/>
    </i>
    <i>
      <x v="5"/>
      <x/>
    </i>
    <i r="1" i="1">
      <x v="1"/>
    </i>
    <i>
      <x v="6"/>
      <x/>
    </i>
    <i r="1" i="1">
      <x v="1"/>
    </i>
    <i>
      <x v="7"/>
      <x/>
    </i>
    <i r="1" i="1">
      <x v="1"/>
    </i>
    <i>
      <x v="8"/>
      <x/>
    </i>
    <i r="1" i="1">
      <x v="1"/>
    </i>
    <i>
      <x v="9"/>
      <x/>
    </i>
    <i r="1" i="1">
      <x v="1"/>
    </i>
    <i>
      <x v="10"/>
      <x/>
    </i>
    <i r="1" i="1">
      <x v="1"/>
    </i>
    <i>
      <x v="11"/>
      <x/>
    </i>
    <i r="1" i="1">
      <x v="1"/>
    </i>
    <i t="grand">
      <x/>
    </i>
    <i t="grand" i="1">
      <x/>
    </i>
  </colItems>
  <dataFields count="2">
    <dataField name="Sum of Сумма базы, ₽" fld="5" baseField="0" baseItem="0" numFmtId="165"/>
    <dataField name="Sum of Сумма пролонгаций, ₽" fld="6" baseField="0" baseItem="0" numFmtId="165"/>
  </dataFields>
  <formats count="1">
    <format dxfId="12">
      <pivotArea field="1" type="button" dataOnly="0" labelOnly="1" outline="0"/>
    </format>
  </formats>
  <pivotTableStyleInfo name="PivotStyleLight2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Месяц_отчета" xr10:uid="{E50752E0-16EB-4F45-BBA5-974BCDB76848}" sourceName="Месяц отчета">
  <pivotTables>
    <pivotTable tabId="2" name="MainPivot"/>
  </pivotTables>
  <data>
    <tabular pivotCacheId="731066826">
      <items count="12">
        <i x="7" s="1"/>
        <i x="3" s="1"/>
        <i x="11" s="1"/>
        <i x="6" s="1"/>
        <i x="5" s="1"/>
        <i x="4" s="1"/>
        <i x="2" s="1"/>
        <i x="10" s="1"/>
        <i x="9" s="1"/>
        <i x="8"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Коэффициент" xr10:uid="{236343D6-2119-43FF-91F0-79A51EB46E67}" sourceName="Коэффициент">
  <pivotTables>
    <pivotTable tabId="2" name="MainPivot"/>
  </pivotTables>
  <data>
    <tabular pivotCacheId="73106682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Месяц отчета" xr10:uid="{8E9AD882-A892-4E95-80CD-7A3AC62D0B79}" cache="Slicer_Месяц_отчета" caption="Месяц отчета" rowHeight="241300"/>
  <slicer name="Коэффициент" xr10:uid="{9F356AE3-E045-4E7B-81A8-9034BCA49E56}" cache="Slicer_Коэффициент" caption="Коэффициент"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46"/>
  <sheetViews>
    <sheetView showGridLines="0" tabSelected="1" topLeftCell="G13" zoomScale="44" zoomScaleNormal="70" workbookViewId="0">
      <selection activeCell="O50" sqref="O50"/>
    </sheetView>
  </sheetViews>
  <sheetFormatPr defaultColWidth="8.6640625" defaultRowHeight="15" customHeight="1" x14ac:dyDescent="0.45"/>
  <cols>
    <col min="1" max="1" width="27.06640625" bestFit="1" customWidth="1"/>
    <col min="2" max="2" width="28.3984375" bestFit="1" customWidth="1"/>
    <col min="3" max="3" width="27.06640625" bestFit="1" customWidth="1"/>
    <col min="4" max="4" width="31.6640625" bestFit="1" customWidth="1"/>
    <col min="5" max="5" width="41.59765625" bestFit="1" customWidth="1"/>
    <col min="6" max="6" width="40.3984375" bestFit="1" customWidth="1"/>
    <col min="7" max="7" width="22.59765625" bestFit="1" customWidth="1"/>
    <col min="8" max="8" width="25.3984375" bestFit="1" customWidth="1"/>
    <col min="9" max="9" width="17.6640625" bestFit="1" customWidth="1"/>
    <col min="10" max="10" width="22.73046875" bestFit="1" customWidth="1"/>
    <col min="11" max="11" width="33.53125" bestFit="1" customWidth="1"/>
    <col min="12" max="12" width="18.59765625" bestFit="1" customWidth="1"/>
    <col min="13" max="13" width="22.59765625" bestFit="1" customWidth="1"/>
    <col min="14" max="14" width="40.06640625" bestFit="1" customWidth="1"/>
    <col min="23" max="23" width="28.73046875" bestFit="1" customWidth="1"/>
    <col min="24" max="24" width="19.86328125" bestFit="1" customWidth="1"/>
    <col min="25" max="25" width="27.1328125" bestFit="1" customWidth="1"/>
    <col min="26" max="26" width="19.86328125" bestFit="1" customWidth="1"/>
    <col min="27" max="27" width="27.1328125" bestFit="1" customWidth="1"/>
    <col min="28" max="28" width="19.86328125" bestFit="1" customWidth="1"/>
    <col min="29" max="29" width="27.1328125" bestFit="1" customWidth="1"/>
    <col min="30" max="30" width="19.86328125" bestFit="1" customWidth="1"/>
    <col min="31" max="31" width="27.1328125" bestFit="1" customWidth="1"/>
    <col min="32" max="32" width="19.86328125" bestFit="1" customWidth="1"/>
    <col min="33" max="33" width="27.1328125" bestFit="1" customWidth="1"/>
    <col min="34" max="34" width="19.86328125" bestFit="1" customWidth="1"/>
    <col min="35" max="35" width="27.1328125" bestFit="1" customWidth="1"/>
    <col min="36" max="36" width="19.86328125" bestFit="1" customWidth="1"/>
    <col min="37" max="37" width="27.1328125" bestFit="1" customWidth="1"/>
    <col min="38" max="38" width="19.86328125" bestFit="1" customWidth="1"/>
    <col min="39" max="39" width="27.1328125" bestFit="1" customWidth="1"/>
    <col min="40" max="40" width="19.86328125" bestFit="1" customWidth="1"/>
    <col min="41" max="41" width="27.1328125" bestFit="1" customWidth="1"/>
    <col min="42" max="42" width="19.86328125" bestFit="1" customWidth="1"/>
    <col min="43" max="43" width="27.1328125" bestFit="1" customWidth="1"/>
    <col min="44" max="44" width="19.86328125" bestFit="1" customWidth="1"/>
    <col min="45" max="45" width="27.1328125" bestFit="1" customWidth="1"/>
    <col min="46" max="46" width="19.86328125" bestFit="1" customWidth="1"/>
    <col min="47" max="47" width="27.1328125" bestFit="1" customWidth="1"/>
    <col min="48" max="48" width="24.53125" bestFit="1" customWidth="1"/>
    <col min="49" max="49" width="31.796875" bestFit="1" customWidth="1"/>
  </cols>
  <sheetData>
    <row r="1" spans="1:6" ht="22.5" x14ac:dyDescent="0.45">
      <c r="A1" s="12" t="s">
        <v>0</v>
      </c>
      <c r="B1" s="12"/>
      <c r="C1" s="12"/>
      <c r="D1" s="12"/>
      <c r="E1" s="12"/>
      <c r="F1" s="12"/>
    </row>
    <row r="2" spans="1:6" ht="26.65" customHeight="1" x14ac:dyDescent="0.45">
      <c r="A2" s="29" t="s">
        <v>1</v>
      </c>
      <c r="B2" s="29" t="s">
        <v>2</v>
      </c>
      <c r="C2" s="29" t="s">
        <v>44</v>
      </c>
      <c r="D2" s="29" t="s">
        <v>45</v>
      </c>
      <c r="E2" s="29" t="s">
        <v>4</v>
      </c>
      <c r="F2" s="29" t="s">
        <v>3</v>
      </c>
    </row>
    <row r="3" spans="1:6" ht="31.5" customHeight="1" x14ac:dyDescent="0.45">
      <c r="A3" s="30">
        <f>G44</f>
        <v>0.54221627731678756</v>
      </c>
      <c r="B3" s="30">
        <f>M44</f>
        <v>7.5587156015227391E-2</v>
      </c>
      <c r="C3" s="31">
        <f>B44</f>
        <v>380</v>
      </c>
      <c r="D3" s="31">
        <f>H44</f>
        <v>209</v>
      </c>
      <c r="E3" s="31">
        <f>C44+I44</f>
        <v>177</v>
      </c>
      <c r="F3" s="32">
        <f>N44</f>
        <v>19316171.619999997</v>
      </c>
    </row>
    <row r="5" spans="1:6" ht="14.25" x14ac:dyDescent="0.45"/>
    <row r="6" spans="1:6" ht="20.25" x14ac:dyDescent="0.45">
      <c r="A6" s="11" t="s">
        <v>5</v>
      </c>
      <c r="B6" s="11"/>
      <c r="C6" s="11"/>
      <c r="D6" s="11"/>
      <c r="E6" s="11"/>
      <c r="F6" s="11"/>
    </row>
    <row r="7" spans="1:6" ht="20" customHeight="1" x14ac:dyDescent="0.45">
      <c r="A7" s="13" t="s">
        <v>7</v>
      </c>
      <c r="B7" s="13" t="s">
        <v>46</v>
      </c>
      <c r="C7" s="13" t="s">
        <v>47</v>
      </c>
      <c r="D7" s="13" t="s">
        <v>10</v>
      </c>
      <c r="E7" s="14" t="s">
        <v>11</v>
      </c>
      <c r="F7" s="14"/>
    </row>
    <row r="8" spans="1:6" ht="20" customHeight="1" x14ac:dyDescent="0.55000000000000004">
      <c r="A8" s="15" t="s">
        <v>13</v>
      </c>
      <c r="B8" s="16">
        <f>IFERROR(SUMIFS('M1'!$F:$F,'M1'!$A:$A,$A8,'M1'!$B:$B,"ИТОГО ОТДЕЛ")/SUMIFS('M1'!$E:$E,'M1'!$A:$A,$A8,'M1'!$B:$B,"ИТОГО ОТДЕЛ"),"")</f>
        <v>0.44715648238889327</v>
      </c>
      <c r="C8" s="16">
        <f>IFERROR(SUMIFS('M2'!$F:$F,'M2'!$A:$A,$A8,'M2'!$B:$B,"ИТОГО ОТДЕЛ")/SUMIFS('M2'!$E:$E,'M2'!$A:$A,$A8,'M2'!$B:$B,"ИТОГО ОТДЕЛ"),"")</f>
        <v>0.13463676695619625</v>
      </c>
      <c r="D8" s="17">
        <f>SUMIFS('M1'!$E:$E,'M1'!$A:$A,$A8,'M1'!$B:$B,"ИТОГО ОТДЕЛ")</f>
        <v>5986766.8600000003</v>
      </c>
      <c r="E8" s="18">
        <f>SUMIFS('M2'!$E:$E,'M2'!$A:$A,$A8,'M2'!$B:$B,"ИТОГО ОТДЕЛ")</f>
        <v>545022</v>
      </c>
      <c r="F8" s="18"/>
    </row>
    <row r="9" spans="1:6" ht="20" customHeight="1" x14ac:dyDescent="0.55000000000000004">
      <c r="A9" s="15" t="s">
        <v>14</v>
      </c>
      <c r="B9" s="16">
        <f>IFERROR(SUMIFS('M1'!$F:$F,'M1'!$A:$A,$A9,'M1'!$B:$B,"ИТОГО ОТДЕЛ")/SUMIFS('M1'!$E:$E,'M1'!$A:$A,$A9,'M1'!$B:$B,"ИТОГО ОТДЕЛ"),"")</f>
        <v>0.73789301258436635</v>
      </c>
      <c r="C9" s="16">
        <f>IFERROR(SUMIFS('M2'!$F:$F,'M2'!$A:$A,$A9,'M2'!$B:$B,"ИТОГО ОТДЕЛ")/SUMIFS('M2'!$E:$E,'M2'!$A:$A,$A9,'M2'!$B:$B,"ИТОГО ОТДЕЛ"),"")</f>
        <v>9.0870627810364993E-2</v>
      </c>
      <c r="D9" s="17">
        <f>SUMIFS('M1'!$E:$E,'M1'!$A:$A,$A9,'M1'!$B:$B,"ИТОГО ОТДЕЛ")</f>
        <v>2549075.5</v>
      </c>
      <c r="E9" s="18">
        <f>SUMIFS('M2'!$E:$E,'M2'!$A:$A,$A9,'M2'!$B:$B,"ИТОГО ОТДЕЛ")</f>
        <v>2890042.76</v>
      </c>
      <c r="F9" s="18"/>
    </row>
    <row r="10" spans="1:6" ht="20" customHeight="1" x14ac:dyDescent="0.55000000000000004">
      <c r="A10" s="15" t="s">
        <v>15</v>
      </c>
      <c r="B10" s="16">
        <f>IFERROR(SUMIFS('M1'!$F:$F,'M1'!$A:$A,$A10,'M1'!$B:$B,"ИТОГО ОТДЕЛ")/SUMIFS('M1'!$E:$E,'M1'!$A:$A,$A10,'M1'!$B:$B,"ИТОГО ОТДЕЛ"),"")</f>
        <v>0.66957166226326936</v>
      </c>
      <c r="C10" s="16">
        <f>IFERROR(SUMIFS('M2'!$F:$F,'M2'!$A:$A,$A10,'M2'!$B:$B,"ИТОГО ОТДЕЛ")/SUMIFS('M2'!$E:$E,'M2'!$A:$A,$A10,'M2'!$B:$B,"ИТОГО ОТДЕЛ"),"")</f>
        <v>0.16166210920685742</v>
      </c>
      <c r="D10" s="17">
        <f>SUMIFS('M1'!$E:$E,'M1'!$A:$A,$A10,'M1'!$B:$B,"ИТОГО ОТДЕЛ")</f>
        <v>1899332.77</v>
      </c>
      <c r="E10" s="18">
        <f>SUMIFS('M2'!$E:$E,'M2'!$A:$A,$A10,'M2'!$B:$B,"ИТОГО ОТДЕЛ")</f>
        <v>760840.5</v>
      </c>
      <c r="F10" s="18"/>
    </row>
    <row r="11" spans="1:6" ht="20" customHeight="1" x14ac:dyDescent="0.55000000000000004">
      <c r="A11" s="15" t="s">
        <v>16</v>
      </c>
      <c r="B11" s="16">
        <f>IFERROR(SUMIFS('M1'!$F:$F,'M1'!$A:$A,$A11,'M1'!$B:$B,"ИТОГО ОТДЕЛ")/SUMIFS('M1'!$E:$E,'M1'!$A:$A,$A11,'M1'!$B:$B,"ИТОГО ОТДЕЛ"),"")</f>
        <v>0.50358130971552817</v>
      </c>
      <c r="C11" s="16">
        <f>IFERROR(SUMIFS('M2'!$F:$F,'M2'!$A:$A,$A11,'M2'!$B:$B,"ИТОГО ОТДЕЛ")/SUMIFS('M2'!$E:$E,'M2'!$A:$A,$A11,'M2'!$B:$B,"ИТОГО ОТДЕЛ"),"")</f>
        <v>9.2300094785219874E-2</v>
      </c>
      <c r="D11" s="17">
        <f>SUMIFS('M1'!$E:$E,'M1'!$A:$A,$A11,'M1'!$B:$B,"ИТОГО ОТДЕЛ")</f>
        <v>2982484.3</v>
      </c>
      <c r="E11" s="18">
        <f>SUMIFS('M2'!$E:$E,'M2'!$A:$A,$A11,'M2'!$B:$B,"ИТОГО ОТДЕЛ")</f>
        <v>627735</v>
      </c>
      <c r="F11" s="18"/>
    </row>
    <row r="12" spans="1:6" ht="20" customHeight="1" x14ac:dyDescent="0.55000000000000004">
      <c r="A12" s="15" t="s">
        <v>17</v>
      </c>
      <c r="B12" s="16">
        <f>IFERROR(SUMIFS('M1'!$F:$F,'M1'!$A:$A,$A12,'M1'!$B:$B,"ИТОГО ОТДЕЛ")/SUMIFS('M1'!$E:$E,'M1'!$A:$A,$A12,'M1'!$B:$B,"ИТОГО ОТДЕЛ"),"")</f>
        <v>0.58022710503314923</v>
      </c>
      <c r="C12" s="16">
        <f>IFERROR(SUMIFS('M2'!$F:$F,'M2'!$A:$A,$A12,'M2'!$B:$B,"ИТОГО ОТДЕЛ")/SUMIFS('M2'!$E:$E,'M2'!$A:$A,$A12,'M2'!$B:$B,"ИТОГО ОТДЕЛ"),"")</f>
        <v>0</v>
      </c>
      <c r="D12" s="17">
        <f>SUMIFS('M1'!$E:$E,'M1'!$A:$A,$A12,'M1'!$B:$B,"ИТОГО ОТДЕЛ")</f>
        <v>3414631.5</v>
      </c>
      <c r="E12" s="18">
        <f>SUMIFS('M2'!$E:$E,'M2'!$A:$A,$A12,'M2'!$B:$B,"ИТОГО ОТДЕЛ")</f>
        <v>1401445.9</v>
      </c>
      <c r="F12" s="18"/>
    </row>
    <row r="13" spans="1:6" ht="20" customHeight="1" x14ac:dyDescent="0.55000000000000004">
      <c r="A13" s="15" t="s">
        <v>18</v>
      </c>
      <c r="B13" s="16">
        <f>IFERROR(SUMIFS('M1'!$F:$F,'M1'!$A:$A,$A13,'M1'!$B:$B,"ИТОГО ОТДЕЛ")/SUMIFS('M1'!$E:$E,'M1'!$A:$A,$A13,'M1'!$B:$B,"ИТОГО ОТДЕЛ"),"")</f>
        <v>0.26130676984008006</v>
      </c>
      <c r="C13" s="16">
        <f>IFERROR(SUMIFS('M2'!$F:$F,'M2'!$A:$A,$A13,'M2'!$B:$B,"ИТОГО ОТДЕЛ")/SUMIFS('M2'!$E:$E,'M2'!$A:$A,$A13,'M2'!$B:$B,"ИТОГО ОТДЕЛ"),"")</f>
        <v>3.8059007840357574E-2</v>
      </c>
      <c r="D13" s="17">
        <f>SUMIFS('M1'!$E:$E,'M1'!$A:$A,$A13,'M1'!$B:$B,"ИТОГО ОТДЕЛ")</f>
        <v>1274625.53</v>
      </c>
      <c r="E13" s="18">
        <f>SUMIFS('M2'!$E:$E,'M2'!$A:$A,$A13,'M2'!$B:$B,"ИТОГО ОТДЕЛ")</f>
        <v>1015068.5</v>
      </c>
      <c r="F13" s="18"/>
    </row>
    <row r="14" spans="1:6" ht="20" customHeight="1" x14ac:dyDescent="0.55000000000000004">
      <c r="A14" s="15" t="s">
        <v>19</v>
      </c>
      <c r="B14" s="16">
        <f>IFERROR(SUMIFS('M1'!$F:$F,'M1'!$A:$A,$A14,'M1'!$B:$B,"ИТОГО ОТДЕЛ")/SUMIFS('M1'!$E:$E,'M1'!$A:$A,$A14,'M1'!$B:$B,"ИТОГО ОТДЕЛ"),"")</f>
        <v>0.52948213275650291</v>
      </c>
      <c r="C14" s="16">
        <f>IFERROR(SUMIFS('M2'!$F:$F,'M2'!$A:$A,$A14,'M2'!$B:$B,"ИТОГО ОТДЕЛ")/SUMIFS('M2'!$E:$E,'M2'!$A:$A,$A14,'M2'!$B:$B,"ИТОГО ОТДЕЛ"),"")</f>
        <v>0.10612789430055719</v>
      </c>
      <c r="D14" s="17">
        <f>SUMIFS('M1'!$E:$E,'M1'!$A:$A,$A14,'M1'!$B:$B,"ИТОГО ОТДЕЛ")</f>
        <v>2625982.85</v>
      </c>
      <c r="E14" s="18">
        <f>SUMIFS('M2'!$E:$E,'M2'!$A:$A,$A14,'M2'!$B:$B,"ИТОГО ОТДЕЛ")</f>
        <v>1020325.53</v>
      </c>
      <c r="F14" s="18"/>
    </row>
    <row r="15" spans="1:6" ht="20" customHeight="1" x14ac:dyDescent="0.55000000000000004">
      <c r="A15" s="15" t="s">
        <v>20</v>
      </c>
      <c r="B15" s="16">
        <f>IFERROR(SUMIFS('M1'!$F:$F,'M1'!$A:$A,$A15,'M1'!$B:$B,"ИТОГО ОТДЕЛ")/SUMIFS('M1'!$E:$E,'M1'!$A:$A,$A15,'M1'!$B:$B,"ИТОГО ОТДЕЛ"),"")</f>
        <v>0.48720696345385334</v>
      </c>
      <c r="C15" s="16">
        <f>IFERROR(SUMIFS('M2'!$F:$F,'M2'!$A:$A,$A15,'M2'!$B:$B,"ИТОГО ОТДЕЛ")/SUMIFS('M2'!$E:$E,'M2'!$A:$A,$A15,'M2'!$B:$B,"ИТОГО ОТДЕЛ"),"")</f>
        <v>3.6017215423464588E-2</v>
      </c>
      <c r="D15" s="17">
        <f>SUMIFS('M1'!$E:$E,'M1'!$A:$A,$A15,'M1'!$B:$B,"ИТОГО ОТДЕЛ")</f>
        <v>1936915.83</v>
      </c>
      <c r="E15" s="18">
        <f>SUMIFS('M2'!$E:$E,'M2'!$A:$A,$A15,'M2'!$B:$B,"ИТОГО ОТДЕЛ")</f>
        <v>1452499.85</v>
      </c>
      <c r="F15" s="18"/>
    </row>
    <row r="16" spans="1:6" ht="20" customHeight="1" x14ac:dyDescent="0.55000000000000004">
      <c r="A16" s="15" t="s">
        <v>21</v>
      </c>
      <c r="B16" s="16">
        <f>IFERROR(SUMIFS('M1'!$F:$F,'M1'!$A:$A,$A16,'M1'!$B:$B,"ИТОГО ОТДЕЛ")/SUMIFS('M1'!$E:$E,'M1'!$A:$A,$A16,'M1'!$B:$B,"ИТОГО ОТДЕЛ"),"")</f>
        <v>0.33513622005821442</v>
      </c>
      <c r="C16" s="16">
        <f>IFERROR(SUMIFS('M2'!$F:$F,'M2'!$A:$A,$A16,'M2'!$B:$B,"ИТОГО ОТДЕЛ")/SUMIFS('M2'!$E:$E,'M2'!$A:$A,$A16,'M2'!$B:$B,"ИТОГО ОТДЕЛ"),"")</f>
        <v>0</v>
      </c>
      <c r="D16" s="17">
        <f>SUMIFS('M1'!$E:$E,'M1'!$A:$A,$A16,'M1'!$B:$B,"ИТОГО ОТДЕЛ")</f>
        <v>3241978.5</v>
      </c>
      <c r="E16" s="18">
        <f>SUMIFS('M2'!$E:$E,'M2'!$A:$A,$A16,'M2'!$B:$B,"ИТОГО ОТДЕЛ")</f>
        <v>755739.63</v>
      </c>
      <c r="F16" s="18"/>
    </row>
    <row r="17" spans="1:6" ht="20" customHeight="1" x14ac:dyDescent="0.55000000000000004">
      <c r="A17" s="15" t="s">
        <v>22</v>
      </c>
      <c r="B17" s="16">
        <f>IFERROR(SUMIFS('M1'!$F:$F,'M1'!$A:$A,$A17,'M1'!$B:$B,"ИТОГО ОТДЕЛ")/SUMIFS('M1'!$E:$E,'M1'!$A:$A,$A17,'M1'!$B:$B,"ИТОГО ОТДЕЛ"),"")</f>
        <v>0.81767756422994509</v>
      </c>
      <c r="C17" s="16">
        <f>IFERROR(SUMIFS('M2'!$F:$F,'M2'!$A:$A,$A17,'M2'!$B:$B,"ИТОГО ОТДЕЛ")/SUMIFS('M2'!$E:$E,'M2'!$A:$A,$A17,'M2'!$B:$B,"ИТОГО ОТДЕЛ"),"")</f>
        <v>0.11239701738196863</v>
      </c>
      <c r="D17" s="17">
        <f>SUMIFS('M1'!$E:$E,'M1'!$A:$A,$A17,'M1'!$B:$B,"ИТОГО ОТДЕЛ")</f>
        <v>3686850.81</v>
      </c>
      <c r="E17" s="18">
        <f>SUMIFS('M2'!$E:$E,'M2'!$A:$A,$A17,'M2'!$B:$B,"ИТОГО ОТДЕЛ")</f>
        <v>2183145.12</v>
      </c>
      <c r="F17" s="18"/>
    </row>
    <row r="18" spans="1:6" ht="20" customHeight="1" x14ac:dyDescent="0.55000000000000004">
      <c r="A18" s="15" t="s">
        <v>23</v>
      </c>
      <c r="B18" s="16">
        <f>IFERROR(SUMIFS('M1'!$F:$F,'M1'!$A:$A,$A18,'M1'!$B:$B,"ИТОГО ОТДЕЛ")/SUMIFS('M1'!$E:$E,'M1'!$A:$A,$A18,'M1'!$B:$B,"ИТОГО ОТДЕЛ"),"")</f>
        <v>0.51788226676395732</v>
      </c>
      <c r="C18" s="16">
        <f>IFERROR(SUMIFS('M2'!$F:$F,'M2'!$A:$A,$A18,'M2'!$B:$B,"ИТОГО ОТДЕЛ")/SUMIFS('M2'!$E:$E,'M2'!$A:$A,$A18,'M2'!$B:$B,"ИТОГО ОТДЕЛ"),"")</f>
        <v>1.8931474326249177E-2</v>
      </c>
      <c r="D18" s="17">
        <f>SUMIFS('M1'!$E:$E,'M1'!$A:$A,$A18,'M1'!$B:$B,"ИТОГО ОТДЕЛ")</f>
        <v>1567139.97</v>
      </c>
      <c r="E18" s="18">
        <f>SUMIFS('M2'!$E:$E,'M2'!$A:$A,$A18,'M2'!$B:$B,"ИТОГО ОТДЕЛ")</f>
        <v>1130392.68</v>
      </c>
      <c r="F18" s="18"/>
    </row>
    <row r="19" spans="1:6" ht="20" customHeight="1" x14ac:dyDescent="0.55000000000000004">
      <c r="A19" s="15" t="s">
        <v>24</v>
      </c>
      <c r="B19" s="16">
        <f>IFERROR(SUMIFS('M1'!$F:$F,'M1'!$A:$A,$A19,'M1'!$B:$B,"ИТОГО ОТДЕЛ")/SUMIFS('M1'!$E:$E,'M1'!$A:$A,$A19,'M1'!$B:$B,"ИТОГО ОТДЕЛ"),"")</f>
        <v>0.54459542138602546</v>
      </c>
      <c r="C19" s="16">
        <f>IFERROR(SUMIFS('M2'!$F:$F,'M2'!$A:$A,$A19,'M2'!$B:$B,"ИТОГО ОТДЕЛ")/SUMIFS('M2'!$E:$E,'M2'!$A:$A,$A19,'M2'!$B:$B,"ИТОГО ОТДЕЛ"),"")</f>
        <v>0.15549810960551391</v>
      </c>
      <c r="D19" s="17">
        <f>SUMIFS('M1'!$E:$E,'M1'!$A:$A,$A19,'M1'!$B:$B,"ИТОГО ОТДЕЛ")</f>
        <v>2434794.91</v>
      </c>
      <c r="E19" s="18">
        <f>SUMIFS('M2'!$E:$E,'M2'!$A:$A,$A19,'M2'!$B:$B,"ИТОГО ОТДЕЛ")</f>
        <v>735957.5</v>
      </c>
      <c r="F19" s="18"/>
    </row>
    <row r="21" spans="1:6" ht="19.149999999999999" customHeight="1" x14ac:dyDescent="0.45">
      <c r="A21" s="11" t="s">
        <v>6</v>
      </c>
      <c r="B21" s="11"/>
      <c r="C21" s="11"/>
      <c r="D21" s="11"/>
      <c r="E21" s="11"/>
      <c r="F21" s="11"/>
    </row>
    <row r="22" spans="1:6" ht="25.9" customHeight="1" x14ac:dyDescent="0.45">
      <c r="A22" s="19" t="s">
        <v>12</v>
      </c>
      <c r="B22" s="19" t="s">
        <v>46</v>
      </c>
      <c r="C22" s="19" t="s">
        <v>47</v>
      </c>
      <c r="D22" s="19" t="s">
        <v>10</v>
      </c>
      <c r="E22" s="19" t="s">
        <v>11</v>
      </c>
      <c r="F22" s="19" t="s">
        <v>3</v>
      </c>
    </row>
    <row r="23" spans="1:6" ht="20" customHeight="1" x14ac:dyDescent="0.55000000000000004">
      <c r="A23" s="20" t="str">
        <f>A42</f>
        <v>Федорова Марина Васильевна</v>
      </c>
      <c r="B23" s="33">
        <f>G42</f>
        <v>0</v>
      </c>
      <c r="C23" s="33">
        <f>M42</f>
        <v>0</v>
      </c>
      <c r="D23" s="34">
        <f>D42</f>
        <v>0</v>
      </c>
      <c r="E23" s="34">
        <f>J42</f>
        <v>0</v>
      </c>
      <c r="F23" s="34">
        <f>N42</f>
        <v>0</v>
      </c>
    </row>
    <row r="24" spans="1:6" ht="20" customHeight="1" x14ac:dyDescent="0.55000000000000004">
      <c r="A24" s="20" t="str">
        <f>A35</f>
        <v>Иванова Мария Сергеевна</v>
      </c>
      <c r="B24" s="33">
        <f>G35</f>
        <v>0.35114550269123146</v>
      </c>
      <c r="C24" s="33">
        <f>M35</f>
        <v>0</v>
      </c>
      <c r="D24" s="34">
        <f>D35</f>
        <v>4727657.16</v>
      </c>
      <c r="E24" s="34">
        <f>J35</f>
        <v>2503864.75</v>
      </c>
      <c r="F24" s="34">
        <f>N35</f>
        <v>1660095.5499999998</v>
      </c>
    </row>
    <row r="25" spans="1:6" ht="20" customHeight="1" x14ac:dyDescent="0.55000000000000004">
      <c r="A25" s="20" t="str">
        <f>A36</f>
        <v>Кузнецов Михаил Иванович</v>
      </c>
      <c r="B25" s="33">
        <f>G36</f>
        <v>0.47844844481531362</v>
      </c>
      <c r="C25" s="33">
        <f>M36</f>
        <v>0</v>
      </c>
      <c r="D25" s="34">
        <f>D36</f>
        <v>982724.44</v>
      </c>
      <c r="E25" s="34">
        <f>J36</f>
        <v>167675</v>
      </c>
      <c r="F25" s="34">
        <f>N36</f>
        <v>470182.98</v>
      </c>
    </row>
    <row r="26" spans="1:6" ht="20" customHeight="1" x14ac:dyDescent="0.55000000000000004">
      <c r="A26" s="20" t="str">
        <f>A39</f>
        <v>Попова Екатерина Николаевна</v>
      </c>
      <c r="B26" s="33">
        <f>G39</f>
        <v>0.51229586158869456</v>
      </c>
      <c r="C26" s="33">
        <f>M39</f>
        <v>0.13786978511517137</v>
      </c>
      <c r="D26" s="34">
        <f>D39</f>
        <v>3680853.08</v>
      </c>
      <c r="E26" s="34">
        <f>J39</f>
        <v>1750920.26</v>
      </c>
      <c r="F26" s="34">
        <f>N39</f>
        <v>2127084.7999999998</v>
      </c>
    </row>
    <row r="27" spans="1:6" ht="20" customHeight="1" x14ac:dyDescent="0.55000000000000004">
      <c r="A27" s="20" t="str">
        <f>A34</f>
        <v>Васильев Артем Александрович</v>
      </c>
      <c r="B27" s="33">
        <f>G34</f>
        <v>0.53055963269494122</v>
      </c>
      <c r="C27" s="33">
        <f>M34</f>
        <v>8.8952483941671448E-2</v>
      </c>
      <c r="D27" s="34">
        <f>D34</f>
        <v>11133084.889999999</v>
      </c>
      <c r="E27" s="34">
        <f>J34</f>
        <v>5423587.5</v>
      </c>
      <c r="F27" s="34">
        <f>N34</f>
        <v>6389207.0099999998</v>
      </c>
    </row>
    <row r="28" spans="1:6" ht="20" customHeight="1" x14ac:dyDescent="0.55000000000000004">
      <c r="A28" s="20" t="str">
        <f>A41</f>
        <v>Соколова Анастасия Викторовна</v>
      </c>
      <c r="B28" s="33">
        <f>G41</f>
        <v>0.58456167312733409</v>
      </c>
      <c r="C28" s="33">
        <f>M41</f>
        <v>6.0343191327953308E-2</v>
      </c>
      <c r="D28" s="34">
        <f>D41</f>
        <v>6798714.5799999991</v>
      </c>
      <c r="E28" s="34">
        <f>J41</f>
        <v>2812661.9800000004</v>
      </c>
      <c r="F28" s="34">
        <f>N41</f>
        <v>4143992.97</v>
      </c>
    </row>
    <row r="29" spans="1:6" ht="20" customHeight="1" x14ac:dyDescent="0.55000000000000004">
      <c r="A29" s="20" t="str">
        <f>A37</f>
        <v>Михайлов Андрей Сергеевич</v>
      </c>
      <c r="B29" s="33">
        <f>G37</f>
        <v>0.66494138694116622</v>
      </c>
      <c r="C29" s="33">
        <f>M37</f>
        <v>0</v>
      </c>
      <c r="D29" s="34">
        <f>D37</f>
        <v>3361833.5900000003</v>
      </c>
      <c r="E29" s="34">
        <f>J37</f>
        <v>1056004.68</v>
      </c>
      <c r="F29" s="34">
        <f>N37</f>
        <v>2235422.29</v>
      </c>
    </row>
    <row r="30" spans="1:6" ht="20" customHeight="1" x14ac:dyDescent="0.55000000000000004">
      <c r="A30" s="20" t="str">
        <f>A40</f>
        <v>Смирнова Ольга Владимировна</v>
      </c>
      <c r="B30" s="33">
        <f>G40</f>
        <v>0.7017268043347662</v>
      </c>
      <c r="C30" s="33">
        <f>M40</f>
        <v>0.25367118489489993</v>
      </c>
      <c r="D30" s="34">
        <f>D40</f>
        <v>2817219.59</v>
      </c>
      <c r="E30" s="34">
        <f>J40</f>
        <v>803500.8</v>
      </c>
      <c r="F30" s="34">
        <f>N40</f>
        <v>2180743.5</v>
      </c>
    </row>
    <row r="31" spans="1:6" ht="20" customHeight="1" x14ac:dyDescent="0.55000000000000004">
      <c r="A31" s="20" t="str">
        <f>A38</f>
        <v>Петрова Анна Дмитриевна</v>
      </c>
      <c r="B31" s="33">
        <f>G38</f>
        <v>1.1111818218738578</v>
      </c>
      <c r="C31" s="33">
        <f>M38</f>
        <v>0</v>
      </c>
      <c r="D31" s="34">
        <f>D38</f>
        <v>98492</v>
      </c>
      <c r="E31" s="34">
        <f>J38</f>
        <v>0</v>
      </c>
      <c r="F31" s="34">
        <f>N38</f>
        <v>109442.52</v>
      </c>
    </row>
    <row r="32" spans="1:6" ht="14.25" x14ac:dyDescent="0.45"/>
    <row r="33" spans="1:49" ht="25.05" customHeight="1" x14ac:dyDescent="0.45">
      <c r="A33" s="13" t="s">
        <v>12</v>
      </c>
      <c r="B33" s="13" t="s">
        <v>48</v>
      </c>
      <c r="C33" s="13" t="s">
        <v>49</v>
      </c>
      <c r="D33" s="13" t="s">
        <v>50</v>
      </c>
      <c r="E33" s="13" t="s">
        <v>51</v>
      </c>
      <c r="F33" s="13" t="s">
        <v>52</v>
      </c>
      <c r="G33" s="13" t="s">
        <v>8</v>
      </c>
      <c r="H33" s="13" t="s">
        <v>53</v>
      </c>
      <c r="I33" s="13" t="s">
        <v>54</v>
      </c>
      <c r="J33" s="13" t="s">
        <v>55</v>
      </c>
      <c r="K33" s="13" t="s">
        <v>56</v>
      </c>
      <c r="L33" s="13" t="s">
        <v>57</v>
      </c>
      <c r="M33" s="13" t="s">
        <v>9</v>
      </c>
      <c r="N33" s="13" t="s">
        <v>43</v>
      </c>
    </row>
    <row r="34" spans="1:49" ht="18" customHeight="1" x14ac:dyDescent="0.55000000000000004">
      <c r="A34" s="20" t="s">
        <v>32</v>
      </c>
      <c r="B34" s="23">
        <f>SUMIFS('M1'!$C:$C,'M1'!$B:$B,$A34)</f>
        <v>107</v>
      </c>
      <c r="C34" s="23">
        <f>SUMIFS('M1'!$D:$D,'M1'!$B:$B,$A34)</f>
        <v>42</v>
      </c>
      <c r="D34" s="22">
        <f>SUMIFS('M1'!$E:$E,'M1'!$B:$B,$A34)</f>
        <v>11133084.889999999</v>
      </c>
      <c r="E34" s="22">
        <f>SUMIFS('M1'!$F:$F,'M1'!$B:$B,$A34)</f>
        <v>5906765.4299999997</v>
      </c>
      <c r="F34" s="21">
        <f t="shared" ref="F34:F44" si="0">IFERROR(C34/B34,"")</f>
        <v>0.3925233644859813</v>
      </c>
      <c r="G34" s="21">
        <f>IFERROR(E34/D34,0)</f>
        <v>0.53055963269494122</v>
      </c>
      <c r="H34" s="23">
        <f>SUMIFS('M2'!$C:$C,'M2'!$B:$B,$A34)</f>
        <v>67</v>
      </c>
      <c r="I34" s="23">
        <f>SUMIFS('M2'!$D:$D,'M2'!$B:$B,$A34)</f>
        <v>7</v>
      </c>
      <c r="J34" s="22">
        <f>SUMIFS('M2'!$E:$E,'M2'!$B:$B,$A34)</f>
        <v>5423587.5</v>
      </c>
      <c r="K34" s="22">
        <f>SUMIFS('M2'!$F:$F,'M2'!$B:$B,$A34)</f>
        <v>482441.58</v>
      </c>
      <c r="L34" s="21">
        <f t="shared" ref="L34:L44" si="1">IFERROR(I34/H34,"")</f>
        <v>0.1044776119402985</v>
      </c>
      <c r="M34" s="21">
        <f>IFERROR(K34/J34,0)</f>
        <v>8.8952483941671448E-2</v>
      </c>
      <c r="N34" s="22">
        <f t="shared" ref="N34:N44" si="2">E34+K34</f>
        <v>6389207.0099999998</v>
      </c>
      <c r="X34" t="s">
        <v>20</v>
      </c>
      <c r="Z34" t="s">
        <v>16</v>
      </c>
      <c r="AB34" t="s">
        <v>24</v>
      </c>
      <c r="AD34" t="s">
        <v>19</v>
      </c>
      <c r="AF34" t="s">
        <v>18</v>
      </c>
      <c r="AH34" t="s">
        <v>17</v>
      </c>
      <c r="AJ34" t="s">
        <v>15</v>
      </c>
      <c r="AL34" t="s">
        <v>23</v>
      </c>
      <c r="AN34" t="s">
        <v>22</v>
      </c>
      <c r="AP34" t="s">
        <v>21</v>
      </c>
      <c r="AR34" t="s">
        <v>14</v>
      </c>
      <c r="AT34" t="s">
        <v>13</v>
      </c>
      <c r="AV34" t="s">
        <v>62</v>
      </c>
      <c r="AW34" t="s">
        <v>63</v>
      </c>
    </row>
    <row r="35" spans="1:49" ht="18" customHeight="1" x14ac:dyDescent="0.55000000000000004">
      <c r="A35" s="20" t="s">
        <v>33</v>
      </c>
      <c r="B35" s="23">
        <f>SUMIFS('M1'!$C:$C,'M1'!$B:$B,$A35)</f>
        <v>47</v>
      </c>
      <c r="C35" s="23">
        <f>SUMIFS('M1'!$D:$D,'M1'!$B:$B,$A35)</f>
        <v>15</v>
      </c>
      <c r="D35" s="22">
        <f>SUMIFS('M1'!$E:$E,'M1'!$B:$B,$A35)</f>
        <v>4727657.16</v>
      </c>
      <c r="E35" s="22">
        <f>SUMIFS('M1'!$F:$F,'M1'!$B:$B,$A35)</f>
        <v>1660095.5499999998</v>
      </c>
      <c r="F35" s="21">
        <f t="shared" si="0"/>
        <v>0.31914893617021278</v>
      </c>
      <c r="G35" s="21">
        <f t="shared" ref="G35:G43" si="3">IFERROR(E35/D35,0)</f>
        <v>0.35114550269123146</v>
      </c>
      <c r="H35" s="23">
        <f>SUMIFS('M2'!$C:$C,'M2'!$B:$B,$A35)</f>
        <v>33</v>
      </c>
      <c r="I35" s="23">
        <f>SUMIFS('M2'!$D:$D,'M2'!$B:$B,$A35)</f>
        <v>0</v>
      </c>
      <c r="J35" s="22">
        <f>SUMIFS('M2'!$E:$E,'M2'!$B:$B,$A35)</f>
        <v>2503864.75</v>
      </c>
      <c r="K35" s="22">
        <f>SUMIFS('M2'!$F:$F,'M2'!$B:$B,$A35)</f>
        <v>0</v>
      </c>
      <c r="L35" s="21">
        <f t="shared" si="1"/>
        <v>0</v>
      </c>
      <c r="M35" s="21">
        <f t="shared" ref="M35:M43" si="4">IFERROR(K35/J35,0)</f>
        <v>0</v>
      </c>
      <c r="N35" s="22">
        <f t="shared" si="2"/>
        <v>1660095.5499999998</v>
      </c>
      <c r="X35" t="s">
        <v>60</v>
      </c>
      <c r="Y35" t="s">
        <v>61</v>
      </c>
      <c r="Z35" t="s">
        <v>60</v>
      </c>
      <c r="AA35" t="s">
        <v>61</v>
      </c>
      <c r="AB35" t="s">
        <v>60</v>
      </c>
      <c r="AC35" t="s">
        <v>61</v>
      </c>
      <c r="AD35" t="s">
        <v>60</v>
      </c>
      <c r="AE35" t="s">
        <v>61</v>
      </c>
      <c r="AF35" t="s">
        <v>60</v>
      </c>
      <c r="AG35" t="s">
        <v>61</v>
      </c>
      <c r="AH35" t="s">
        <v>60</v>
      </c>
      <c r="AI35" t="s">
        <v>61</v>
      </c>
      <c r="AJ35" t="s">
        <v>60</v>
      </c>
      <c r="AK35" t="s">
        <v>61</v>
      </c>
      <c r="AL35" t="s">
        <v>60</v>
      </c>
      <c r="AM35" t="s">
        <v>61</v>
      </c>
      <c r="AN35" t="s">
        <v>60</v>
      </c>
      <c r="AO35" t="s">
        <v>61</v>
      </c>
      <c r="AP35" t="s">
        <v>60</v>
      </c>
      <c r="AQ35" t="s">
        <v>61</v>
      </c>
      <c r="AR35" t="s">
        <v>60</v>
      </c>
      <c r="AS35" t="s">
        <v>61</v>
      </c>
      <c r="AT35" t="s">
        <v>60</v>
      </c>
      <c r="AU35" t="s">
        <v>61</v>
      </c>
    </row>
    <row r="36" spans="1:49" ht="18" customHeight="1" x14ac:dyDescent="0.55000000000000004">
      <c r="A36" s="20" t="s">
        <v>34</v>
      </c>
      <c r="B36" s="23">
        <f>SUMIFS('M1'!$C:$C,'M1'!$B:$B,$A36)</f>
        <v>15</v>
      </c>
      <c r="C36" s="23">
        <f>SUMIFS('M1'!$D:$D,'M1'!$B:$B,$A36)</f>
        <v>7</v>
      </c>
      <c r="D36" s="22">
        <f>SUMIFS('M1'!$E:$E,'M1'!$B:$B,$A36)</f>
        <v>982724.44</v>
      </c>
      <c r="E36" s="22">
        <f>SUMIFS('M1'!$F:$F,'M1'!$B:$B,$A36)</f>
        <v>470182.98</v>
      </c>
      <c r="F36" s="21">
        <f t="shared" si="0"/>
        <v>0.46666666666666667</v>
      </c>
      <c r="G36" s="21">
        <f t="shared" si="3"/>
        <v>0.47844844481531362</v>
      </c>
      <c r="H36" s="23">
        <f>SUMIFS('M2'!$C:$C,'M2'!$B:$B,$A36)</f>
        <v>4</v>
      </c>
      <c r="I36" s="23">
        <f>SUMIFS('M2'!$D:$D,'M2'!$B:$B,$A36)</f>
        <v>0</v>
      </c>
      <c r="J36" s="22">
        <f>SUMIFS('M2'!$E:$E,'M2'!$B:$B,$A36)</f>
        <v>167675</v>
      </c>
      <c r="K36" s="22">
        <f>SUMIFS('M2'!$F:$F,'M2'!$B:$B,$A36)</f>
        <v>0</v>
      </c>
      <c r="L36" s="21">
        <f t="shared" si="1"/>
        <v>0</v>
      </c>
      <c r="M36" s="21">
        <f t="shared" si="4"/>
        <v>0</v>
      </c>
      <c r="N36" s="22">
        <f t="shared" si="2"/>
        <v>470182.98</v>
      </c>
      <c r="W36" s="28" t="s">
        <v>40</v>
      </c>
      <c r="X36" s="1">
        <v>0</v>
      </c>
      <c r="Y36" s="1">
        <v>0</v>
      </c>
      <c r="Z36" s="1">
        <v>0</v>
      </c>
      <c r="AA36" s="1">
        <v>0</v>
      </c>
      <c r="AB36" s="1">
        <v>0</v>
      </c>
      <c r="AC36" s="1">
        <v>0</v>
      </c>
      <c r="AD36" s="1">
        <v>0</v>
      </c>
      <c r="AE36" s="1">
        <v>0</v>
      </c>
      <c r="AF36" s="1">
        <v>0</v>
      </c>
      <c r="AG36" s="1">
        <v>0</v>
      </c>
      <c r="AH36" s="1">
        <v>0</v>
      </c>
      <c r="AI36" s="1">
        <v>0</v>
      </c>
      <c r="AJ36" s="1">
        <v>0</v>
      </c>
      <c r="AK36" s="1">
        <v>0</v>
      </c>
      <c r="AL36" s="1">
        <v>0</v>
      </c>
      <c r="AM36" s="1">
        <v>0</v>
      </c>
      <c r="AN36" s="1">
        <v>0</v>
      </c>
      <c r="AO36" s="1">
        <v>0</v>
      </c>
      <c r="AP36" s="1">
        <v>0</v>
      </c>
      <c r="AQ36" s="1">
        <v>0</v>
      </c>
      <c r="AR36" s="1">
        <v>0</v>
      </c>
      <c r="AS36" s="1">
        <v>0</v>
      </c>
      <c r="AT36" s="1">
        <v>0</v>
      </c>
      <c r="AU36" s="1">
        <v>0</v>
      </c>
      <c r="AV36" s="1">
        <v>0</v>
      </c>
      <c r="AW36" s="1">
        <v>0</v>
      </c>
    </row>
    <row r="37" spans="1:49" ht="18" customHeight="1" x14ac:dyDescent="0.55000000000000004">
      <c r="A37" s="20" t="s">
        <v>35</v>
      </c>
      <c r="B37" s="23">
        <f>SUMIFS('M1'!$C:$C,'M1'!$B:$B,$A37)</f>
        <v>26</v>
      </c>
      <c r="C37" s="23">
        <f>SUMIFS('M1'!$D:$D,'M1'!$B:$B,$A37)</f>
        <v>14</v>
      </c>
      <c r="D37" s="22">
        <f>SUMIFS('M1'!$E:$E,'M1'!$B:$B,$A37)</f>
        <v>3361833.5900000003</v>
      </c>
      <c r="E37" s="22">
        <f>SUMIFS('M1'!$F:$F,'M1'!$B:$B,$A37)</f>
        <v>2235422.29</v>
      </c>
      <c r="F37" s="21">
        <f t="shared" si="0"/>
        <v>0.53846153846153844</v>
      </c>
      <c r="G37" s="21">
        <f t="shared" si="3"/>
        <v>0.66494138694116622</v>
      </c>
      <c r="H37" s="23">
        <f>SUMIFS('M2'!$C:$C,'M2'!$B:$B,$A37)</f>
        <v>13</v>
      </c>
      <c r="I37" s="23">
        <f>SUMIFS('M2'!$D:$D,'M2'!$B:$B,$A37)</f>
        <v>0</v>
      </c>
      <c r="J37" s="22">
        <f>SUMIFS('M2'!$E:$E,'M2'!$B:$B,$A37)</f>
        <v>1056004.68</v>
      </c>
      <c r="K37" s="22">
        <f>SUMIFS('M2'!$F:$F,'M2'!$B:$B,$A37)</f>
        <v>0</v>
      </c>
      <c r="L37" s="21">
        <f t="shared" si="1"/>
        <v>0</v>
      </c>
      <c r="M37" s="21">
        <f t="shared" si="4"/>
        <v>0</v>
      </c>
      <c r="N37" s="22">
        <f t="shared" si="2"/>
        <v>2235422.29</v>
      </c>
      <c r="W37" s="28" t="s">
        <v>39</v>
      </c>
      <c r="X37" s="1">
        <v>846377.13</v>
      </c>
      <c r="Y37" s="1">
        <v>252695</v>
      </c>
      <c r="Z37" s="1">
        <v>441283</v>
      </c>
      <c r="AA37" s="1">
        <v>424685</v>
      </c>
      <c r="AB37" s="1">
        <v>1282095</v>
      </c>
      <c r="AC37" s="1">
        <v>759775</v>
      </c>
      <c r="AD37" s="1">
        <v>950990</v>
      </c>
      <c r="AE37" s="1">
        <v>542575</v>
      </c>
      <c r="AF37" s="1">
        <v>374280</v>
      </c>
      <c r="AG37" s="1">
        <v>129740</v>
      </c>
      <c r="AH37" s="1">
        <v>406525</v>
      </c>
      <c r="AI37" s="1">
        <v>84690</v>
      </c>
      <c r="AJ37" s="1">
        <v>713273.5</v>
      </c>
      <c r="AK37" s="1">
        <v>272430</v>
      </c>
      <c r="AL37" s="1">
        <v>679492.22</v>
      </c>
      <c r="AM37" s="1">
        <v>69190</v>
      </c>
      <c r="AN37" s="1">
        <v>1243428.5899999999</v>
      </c>
      <c r="AO37" s="1">
        <v>769355</v>
      </c>
      <c r="AP37" s="1">
        <v>623012.6</v>
      </c>
      <c r="AQ37" s="1">
        <v>142458.97</v>
      </c>
      <c r="AR37" s="1">
        <v>1031011.26</v>
      </c>
      <c r="AS37" s="1">
        <v>233500</v>
      </c>
      <c r="AT37" s="1">
        <v>1019608.26</v>
      </c>
      <c r="AU37" s="1">
        <v>462899</v>
      </c>
      <c r="AV37" s="1">
        <v>9611376.5599999987</v>
      </c>
      <c r="AW37" s="1">
        <v>4143992.97</v>
      </c>
    </row>
    <row r="38" spans="1:49" ht="18" customHeight="1" x14ac:dyDescent="0.55000000000000004">
      <c r="A38" s="20" t="s">
        <v>36</v>
      </c>
      <c r="B38" s="23">
        <f>SUMIFS('M1'!$C:$C,'M1'!$B:$B,$A38)</f>
        <v>1</v>
      </c>
      <c r="C38" s="23">
        <f>SUMIFS('M1'!$D:$D,'M1'!$B:$B,$A38)</f>
        <v>1</v>
      </c>
      <c r="D38" s="22">
        <f>SUMIFS('M1'!$E:$E,'M1'!$B:$B,$A38)</f>
        <v>98492</v>
      </c>
      <c r="E38" s="22">
        <f>SUMIFS('M1'!$F:$F,'M1'!$B:$B,$A38)</f>
        <v>109442.52</v>
      </c>
      <c r="F38" s="21">
        <f t="shared" si="0"/>
        <v>1</v>
      </c>
      <c r="G38" s="21">
        <f t="shared" si="3"/>
        <v>1.1111818218738578</v>
      </c>
      <c r="H38" s="23">
        <f>SUMIFS('M2'!$C:$C,'M2'!$B:$B,$A38)</f>
        <v>0</v>
      </c>
      <c r="I38" s="23">
        <f>SUMIFS('M2'!$D:$D,'M2'!$B:$B,$A38)</f>
        <v>0</v>
      </c>
      <c r="J38" s="22">
        <f>SUMIFS('M2'!$E:$E,'M2'!$B:$B,$A38)</f>
        <v>0</v>
      </c>
      <c r="K38" s="22">
        <f>SUMIFS('M2'!$F:$F,'M2'!$B:$B,$A38)</f>
        <v>0</v>
      </c>
      <c r="L38" s="21" t="str">
        <f t="shared" si="1"/>
        <v/>
      </c>
      <c r="M38" s="21">
        <f t="shared" si="4"/>
        <v>0</v>
      </c>
      <c r="N38" s="22">
        <f t="shared" si="2"/>
        <v>109442.52</v>
      </c>
      <c r="W38" s="28" t="s">
        <v>38</v>
      </c>
      <c r="X38" s="1">
        <v>326025</v>
      </c>
      <c r="Y38" s="1">
        <v>161220</v>
      </c>
      <c r="Z38" s="1">
        <v>93075</v>
      </c>
      <c r="AA38" s="1">
        <v>89920</v>
      </c>
      <c r="AB38" s="1">
        <v>621566</v>
      </c>
      <c r="AC38" s="1">
        <v>226988.3</v>
      </c>
      <c r="AD38" s="1">
        <v>168079.35</v>
      </c>
      <c r="AE38" s="1">
        <v>69385</v>
      </c>
      <c r="AF38" s="1">
        <v>134394.35</v>
      </c>
      <c r="AG38" s="1">
        <v>51395</v>
      </c>
      <c r="AH38" s="1">
        <v>0</v>
      </c>
      <c r="AI38" s="1">
        <v>0</v>
      </c>
      <c r="AJ38" s="1">
        <v>48000</v>
      </c>
      <c r="AK38" s="1">
        <v>55225</v>
      </c>
      <c r="AL38" s="1">
        <v>449761.45</v>
      </c>
      <c r="AM38" s="1">
        <v>227030</v>
      </c>
      <c r="AN38" s="1">
        <v>996660.7</v>
      </c>
      <c r="AO38" s="1">
        <v>908328.75</v>
      </c>
      <c r="AP38" s="1">
        <v>546788.54</v>
      </c>
      <c r="AQ38" s="1">
        <v>279686.45</v>
      </c>
      <c r="AR38" s="1">
        <v>86295</v>
      </c>
      <c r="AS38" s="1">
        <v>0</v>
      </c>
      <c r="AT38" s="1">
        <v>150075</v>
      </c>
      <c r="AU38" s="1">
        <v>111565</v>
      </c>
      <c r="AV38" s="1">
        <v>3620720.39</v>
      </c>
      <c r="AW38" s="1">
        <v>2180743.5</v>
      </c>
    </row>
    <row r="39" spans="1:49" ht="18" customHeight="1" x14ac:dyDescent="0.55000000000000004">
      <c r="A39" s="20" t="s">
        <v>37</v>
      </c>
      <c r="B39" s="23">
        <f>SUMIFS('M1'!$C:$C,'M1'!$B:$B,$A39)</f>
        <v>61</v>
      </c>
      <c r="C39" s="23">
        <f>SUMIFS('M1'!$D:$D,'M1'!$B:$B,$A39)</f>
        <v>25</v>
      </c>
      <c r="D39" s="22">
        <f>SUMIFS('M1'!$E:$E,'M1'!$B:$B,$A39)</f>
        <v>3680853.08</v>
      </c>
      <c r="E39" s="22">
        <f>SUMIFS('M1'!$F:$F,'M1'!$B:$B,$A39)</f>
        <v>1885685.8</v>
      </c>
      <c r="F39" s="21">
        <f t="shared" si="0"/>
        <v>0.4098360655737705</v>
      </c>
      <c r="G39" s="21">
        <f t="shared" si="3"/>
        <v>0.51229586158869456</v>
      </c>
      <c r="H39" s="23">
        <f>SUMIFS('M2'!$C:$C,'M2'!$B:$B,$A39)</f>
        <v>34</v>
      </c>
      <c r="I39" s="23">
        <f>SUMIFS('M2'!$D:$D,'M2'!$B:$B,$A39)</f>
        <v>4</v>
      </c>
      <c r="J39" s="22">
        <f>SUMIFS('M2'!$E:$E,'M2'!$B:$B,$A39)</f>
        <v>1750920.26</v>
      </c>
      <c r="K39" s="22">
        <f>SUMIFS('M2'!$F:$F,'M2'!$B:$B,$A39)</f>
        <v>241399</v>
      </c>
      <c r="L39" s="21">
        <f t="shared" si="1"/>
        <v>0.11764705882352941</v>
      </c>
      <c r="M39" s="21">
        <f t="shared" si="4"/>
        <v>0.13786978511517137</v>
      </c>
      <c r="N39" s="22">
        <f t="shared" si="2"/>
        <v>2127084.7999999998</v>
      </c>
      <c r="W39" s="28" t="s">
        <v>37</v>
      </c>
      <c r="X39" s="1">
        <v>501775</v>
      </c>
      <c r="Y39" s="1">
        <v>108120</v>
      </c>
      <c r="Z39" s="1">
        <v>476770</v>
      </c>
      <c r="AA39" s="1">
        <v>128810</v>
      </c>
      <c r="AB39" s="1">
        <v>113060</v>
      </c>
      <c r="AC39" s="1">
        <v>67850</v>
      </c>
      <c r="AD39" s="1">
        <v>397570</v>
      </c>
      <c r="AE39" s="1">
        <v>69700</v>
      </c>
      <c r="AF39" s="1">
        <v>208770</v>
      </c>
      <c r="AG39" s="1">
        <v>0</v>
      </c>
      <c r="AH39" s="1">
        <v>726260</v>
      </c>
      <c r="AI39" s="1">
        <v>351500</v>
      </c>
      <c r="AJ39" s="1">
        <v>576742</v>
      </c>
      <c r="AK39" s="1">
        <v>262080</v>
      </c>
      <c r="AL39" s="1">
        <v>112728.26</v>
      </c>
      <c r="AM39" s="1">
        <v>21400</v>
      </c>
      <c r="AN39" s="1">
        <v>1049576.08</v>
      </c>
      <c r="AO39" s="1">
        <v>787804.8</v>
      </c>
      <c r="AP39" s="1">
        <v>612650</v>
      </c>
      <c r="AQ39" s="1">
        <v>223145</v>
      </c>
      <c r="AR39" s="1">
        <v>331002</v>
      </c>
      <c r="AS39" s="1">
        <v>0</v>
      </c>
      <c r="AT39" s="1">
        <v>324870</v>
      </c>
      <c r="AU39" s="1">
        <v>106675</v>
      </c>
      <c r="AV39" s="1">
        <v>5431773.3399999999</v>
      </c>
      <c r="AW39" s="1">
        <v>2127084.7999999998</v>
      </c>
    </row>
    <row r="40" spans="1:49" ht="18" customHeight="1" x14ac:dyDescent="0.55000000000000004">
      <c r="A40" s="20" t="s">
        <v>38</v>
      </c>
      <c r="B40" s="23">
        <f>SUMIFS('M1'!$C:$C,'M1'!$B:$B,$A40)</f>
        <v>50</v>
      </c>
      <c r="C40" s="23">
        <f>SUMIFS('M1'!$D:$D,'M1'!$B:$B,$A40)</f>
        <v>21</v>
      </c>
      <c r="D40" s="22">
        <f>SUMIFS('M1'!$E:$E,'M1'!$B:$B,$A40)</f>
        <v>2817219.59</v>
      </c>
      <c r="E40" s="22">
        <f>SUMIFS('M1'!$F:$F,'M1'!$B:$B,$A40)</f>
        <v>1976918.5</v>
      </c>
      <c r="F40" s="21">
        <f t="shared" si="0"/>
        <v>0.42</v>
      </c>
      <c r="G40" s="21">
        <f t="shared" si="3"/>
        <v>0.7017268043347662</v>
      </c>
      <c r="H40" s="23">
        <f>SUMIFS('M2'!$C:$C,'M2'!$B:$B,$A40)</f>
        <v>21</v>
      </c>
      <c r="I40" s="23">
        <f>SUMIFS('M2'!$D:$D,'M2'!$B:$B,$A40)</f>
        <v>4</v>
      </c>
      <c r="J40" s="22">
        <f>SUMIFS('M2'!$E:$E,'M2'!$B:$B,$A40)</f>
        <v>803500.8</v>
      </c>
      <c r="K40" s="22">
        <f>SUMIFS('M2'!$F:$F,'M2'!$B:$B,$A40)</f>
        <v>203825</v>
      </c>
      <c r="L40" s="21">
        <f t="shared" si="1"/>
        <v>0.19047619047619047</v>
      </c>
      <c r="M40" s="21">
        <f t="shared" si="4"/>
        <v>0.25367118489489993</v>
      </c>
      <c r="N40" s="22">
        <f t="shared" si="2"/>
        <v>2180743.5</v>
      </c>
      <c r="W40" s="28" t="s">
        <v>36</v>
      </c>
      <c r="X40" s="1">
        <v>0</v>
      </c>
      <c r="Y40" s="1">
        <v>0</v>
      </c>
      <c r="Z40" s="1">
        <v>0</v>
      </c>
      <c r="AA40" s="1">
        <v>0</v>
      </c>
      <c r="AB40" s="1">
        <v>98492</v>
      </c>
      <c r="AC40" s="1">
        <v>109442.52</v>
      </c>
      <c r="AD40" s="1">
        <v>0</v>
      </c>
      <c r="AE40" s="1">
        <v>0</v>
      </c>
      <c r="AF40" s="1">
        <v>0</v>
      </c>
      <c r="AG40" s="1">
        <v>0</v>
      </c>
      <c r="AH40" s="1">
        <v>0</v>
      </c>
      <c r="AI40" s="1">
        <v>0</v>
      </c>
      <c r="AJ40" s="1">
        <v>0</v>
      </c>
      <c r="AK40" s="1">
        <v>0</v>
      </c>
      <c r="AL40" s="1">
        <v>0</v>
      </c>
      <c r="AM40" s="1">
        <v>0</v>
      </c>
      <c r="AN40" s="1">
        <v>0</v>
      </c>
      <c r="AO40" s="1">
        <v>0</v>
      </c>
      <c r="AP40" s="1">
        <v>0</v>
      </c>
      <c r="AQ40" s="1">
        <v>0</v>
      </c>
      <c r="AR40" s="1">
        <v>0</v>
      </c>
      <c r="AS40" s="1">
        <v>0</v>
      </c>
      <c r="AT40" s="1">
        <v>0</v>
      </c>
      <c r="AU40" s="1">
        <v>0</v>
      </c>
      <c r="AV40" s="1">
        <v>98492</v>
      </c>
      <c r="AW40" s="1">
        <v>109442.52</v>
      </c>
    </row>
    <row r="41" spans="1:49" ht="18" customHeight="1" x14ac:dyDescent="0.55000000000000004">
      <c r="A41" s="20" t="s">
        <v>39</v>
      </c>
      <c r="B41" s="23">
        <f>SUMIFS('M1'!$C:$C,'M1'!$B:$B,$A41)</f>
        <v>72</v>
      </c>
      <c r="C41" s="23">
        <f>SUMIFS('M1'!$D:$D,'M1'!$B:$B,$A41)</f>
        <v>34</v>
      </c>
      <c r="D41" s="22">
        <f>SUMIFS('M1'!$E:$E,'M1'!$B:$B,$A41)</f>
        <v>6798714.5799999991</v>
      </c>
      <c r="E41" s="22">
        <f>SUMIFS('M1'!$F:$F,'M1'!$B:$B,$A41)</f>
        <v>3974267.97</v>
      </c>
      <c r="F41" s="21">
        <f t="shared" si="0"/>
        <v>0.47222222222222221</v>
      </c>
      <c r="G41" s="21">
        <f t="shared" si="3"/>
        <v>0.58456167312733409</v>
      </c>
      <c r="H41" s="23">
        <f>SUMIFS('M2'!$C:$C,'M2'!$B:$B,$A41)</f>
        <v>36</v>
      </c>
      <c r="I41" s="23">
        <f>SUMIFS('M2'!$D:$D,'M2'!$B:$B,$A41)</f>
        <v>3</v>
      </c>
      <c r="J41" s="22">
        <f>SUMIFS('M2'!$E:$E,'M2'!$B:$B,$A41)</f>
        <v>2812661.9800000004</v>
      </c>
      <c r="K41" s="22">
        <f>SUMIFS('M2'!$F:$F,'M2'!$B:$B,$A41)</f>
        <v>169725</v>
      </c>
      <c r="L41" s="21">
        <f t="shared" si="1"/>
        <v>8.3333333333333329E-2</v>
      </c>
      <c r="M41" s="21">
        <f t="shared" si="4"/>
        <v>6.0343191327953308E-2</v>
      </c>
      <c r="N41" s="22">
        <f t="shared" si="2"/>
        <v>4143992.97</v>
      </c>
      <c r="W41" s="28" t="s">
        <v>35</v>
      </c>
      <c r="X41" s="1">
        <v>0</v>
      </c>
      <c r="Y41" s="1">
        <v>0</v>
      </c>
      <c r="Z41" s="1">
        <v>77937.100000000006</v>
      </c>
      <c r="AA41" s="1">
        <v>85640.35</v>
      </c>
      <c r="AB41" s="1">
        <v>50640</v>
      </c>
      <c r="AC41" s="1">
        <v>0</v>
      </c>
      <c r="AD41" s="1">
        <v>276105.18</v>
      </c>
      <c r="AE41" s="1">
        <v>94820</v>
      </c>
      <c r="AF41" s="1">
        <v>196925.18</v>
      </c>
      <c r="AG41" s="1">
        <v>0</v>
      </c>
      <c r="AH41" s="1">
        <v>410460</v>
      </c>
      <c r="AI41" s="1">
        <v>488289.75</v>
      </c>
      <c r="AJ41" s="1">
        <v>5306.6</v>
      </c>
      <c r="AK41" s="1">
        <v>12898.1</v>
      </c>
      <c r="AL41" s="1">
        <v>337060.75</v>
      </c>
      <c r="AM41" s="1">
        <v>0</v>
      </c>
      <c r="AN41" s="1">
        <v>999884.5</v>
      </c>
      <c r="AO41" s="1">
        <v>299100</v>
      </c>
      <c r="AP41" s="1">
        <v>333853.75</v>
      </c>
      <c r="AQ41" s="1">
        <v>0</v>
      </c>
      <c r="AR41" s="1">
        <v>1047560</v>
      </c>
      <c r="AS41" s="1">
        <v>813660</v>
      </c>
      <c r="AT41" s="1">
        <v>682105.21</v>
      </c>
      <c r="AU41" s="1">
        <v>441014.09</v>
      </c>
      <c r="AV41" s="1">
        <v>4417838.2699999996</v>
      </c>
      <c r="AW41" s="1">
        <v>2235422.29</v>
      </c>
    </row>
    <row r="42" spans="1:49" ht="18" customHeight="1" x14ac:dyDescent="0.55000000000000004">
      <c r="A42" s="20" t="s">
        <v>40</v>
      </c>
      <c r="B42" s="23">
        <f>SUMIFS('M1'!$C:$C,'M1'!$B:$B,$A42)</f>
        <v>0</v>
      </c>
      <c r="C42" s="23">
        <f>SUMIFS('M1'!$D:$D,'M1'!$B:$B,$A42)</f>
        <v>0</v>
      </c>
      <c r="D42" s="22">
        <f>SUMIFS('M1'!$E:$E,'M1'!$B:$B,$A42)</f>
        <v>0</v>
      </c>
      <c r="E42" s="22">
        <f>SUMIFS('M1'!$F:$F,'M1'!$B:$B,$A42)</f>
        <v>0</v>
      </c>
      <c r="F42" s="21" t="str">
        <f t="shared" si="0"/>
        <v/>
      </c>
      <c r="G42" s="21">
        <f t="shared" si="3"/>
        <v>0</v>
      </c>
      <c r="H42" s="23">
        <f>SUMIFS('M2'!$C:$C,'M2'!$B:$B,$A42)</f>
        <v>0</v>
      </c>
      <c r="I42" s="23">
        <f>SUMIFS('M2'!$D:$D,'M2'!$B:$B,$A42)</f>
        <v>0</v>
      </c>
      <c r="J42" s="22">
        <f>SUMIFS('M2'!$E:$E,'M2'!$B:$B,$A42)</f>
        <v>0</v>
      </c>
      <c r="K42" s="22">
        <f>SUMIFS('M2'!$F:$F,'M2'!$B:$B,$A42)</f>
        <v>0</v>
      </c>
      <c r="L42" s="21" t="str">
        <f t="shared" si="1"/>
        <v/>
      </c>
      <c r="M42" s="21">
        <f t="shared" si="4"/>
        <v>0</v>
      </c>
      <c r="N42" s="22">
        <f t="shared" si="2"/>
        <v>0</v>
      </c>
      <c r="W42" s="28" t="s">
        <v>34</v>
      </c>
      <c r="X42" s="1">
        <v>0</v>
      </c>
      <c r="Y42" s="1">
        <v>0</v>
      </c>
      <c r="Z42" s="1">
        <v>1425</v>
      </c>
      <c r="AA42" s="1">
        <v>0</v>
      </c>
      <c r="AB42" s="1">
        <v>654631.90999999992</v>
      </c>
      <c r="AC42" s="1">
        <v>133822.34</v>
      </c>
      <c r="AD42" s="1">
        <v>0</v>
      </c>
      <c r="AE42" s="1">
        <v>0</v>
      </c>
      <c r="AF42" s="1">
        <v>0</v>
      </c>
      <c r="AG42" s="1">
        <v>0</v>
      </c>
      <c r="AH42" s="1">
        <v>1425</v>
      </c>
      <c r="AI42" s="1">
        <v>0</v>
      </c>
      <c r="AJ42" s="1">
        <v>0</v>
      </c>
      <c r="AK42" s="1">
        <v>0</v>
      </c>
      <c r="AL42" s="1">
        <v>330376.46999999997</v>
      </c>
      <c r="AM42" s="1">
        <v>156480</v>
      </c>
      <c r="AN42" s="1">
        <v>43951.06</v>
      </c>
      <c r="AO42" s="1">
        <v>57510.64</v>
      </c>
      <c r="AP42" s="1">
        <v>0</v>
      </c>
      <c r="AQ42" s="1">
        <v>0</v>
      </c>
      <c r="AR42" s="1">
        <v>66255</v>
      </c>
      <c r="AS42" s="1">
        <v>56115</v>
      </c>
      <c r="AT42" s="1">
        <v>52335</v>
      </c>
      <c r="AU42" s="1">
        <v>66255</v>
      </c>
      <c r="AV42" s="1">
        <v>1150399.44</v>
      </c>
      <c r="AW42" s="1">
        <v>470182.98</v>
      </c>
    </row>
    <row r="43" spans="1:49" ht="18" customHeight="1" x14ac:dyDescent="0.55000000000000004">
      <c r="A43" s="20" t="s">
        <v>41</v>
      </c>
      <c r="B43" s="23">
        <f>SUMIFS('M1'!$C:$C,'M1'!$B:$B,$A43)</f>
        <v>1</v>
      </c>
      <c r="C43" s="23">
        <f>SUMIFS('M1'!$D:$D,'M1'!$B:$B,$A43)</f>
        <v>0</v>
      </c>
      <c r="D43" s="22">
        <f>SUMIFS('M1'!$E:$E,'M1'!$B:$B,$A43)</f>
        <v>0</v>
      </c>
      <c r="E43" s="22">
        <f>SUMIFS('M1'!$F:$F,'M1'!$B:$B,$A43)</f>
        <v>0</v>
      </c>
      <c r="F43" s="21">
        <f t="shared" si="0"/>
        <v>0</v>
      </c>
      <c r="G43" s="21">
        <f t="shared" si="3"/>
        <v>0</v>
      </c>
      <c r="H43" s="23">
        <f>SUMIFS('M2'!$C:$C,'M2'!$B:$B,$A43)</f>
        <v>1</v>
      </c>
      <c r="I43" s="23">
        <f>SUMIFS('M2'!$D:$D,'M2'!$B:$B,$A43)</f>
        <v>0</v>
      </c>
      <c r="J43" s="22">
        <f>SUMIFS('M2'!$E:$E,'M2'!$B:$B,$A43)</f>
        <v>0</v>
      </c>
      <c r="K43" s="22">
        <f>SUMIFS('M2'!$F:$F,'M2'!$B:$B,$A43)</f>
        <v>0</v>
      </c>
      <c r="L43" s="21">
        <f t="shared" si="1"/>
        <v>0</v>
      </c>
      <c r="M43" s="21">
        <f t="shared" si="4"/>
        <v>0</v>
      </c>
      <c r="N43" s="22">
        <f t="shared" si="2"/>
        <v>0</v>
      </c>
      <c r="W43" s="28" t="s">
        <v>33</v>
      </c>
      <c r="X43" s="1">
        <v>574220.94999999995</v>
      </c>
      <c r="Y43" s="1">
        <v>164058.88</v>
      </c>
      <c r="Z43" s="1">
        <v>949173.75</v>
      </c>
      <c r="AA43" s="1">
        <v>228248</v>
      </c>
      <c r="AB43" s="1">
        <v>0</v>
      </c>
      <c r="AC43" s="1">
        <v>0</v>
      </c>
      <c r="AD43" s="1">
        <v>731122.25</v>
      </c>
      <c r="AE43" s="1">
        <v>200525</v>
      </c>
      <c r="AF43" s="1">
        <v>306830</v>
      </c>
      <c r="AG43" s="1">
        <v>0</v>
      </c>
      <c r="AH43" s="1">
        <v>616898</v>
      </c>
      <c r="AI43" s="1">
        <v>138158</v>
      </c>
      <c r="AJ43" s="1">
        <v>229633.75</v>
      </c>
      <c r="AK43" s="1">
        <v>102433.75</v>
      </c>
      <c r="AL43" s="1">
        <v>0</v>
      </c>
      <c r="AM43" s="1">
        <v>0</v>
      </c>
      <c r="AN43" s="1">
        <v>0</v>
      </c>
      <c r="AO43" s="1">
        <v>0</v>
      </c>
      <c r="AP43" s="1">
        <v>245372.5</v>
      </c>
      <c r="AQ43" s="1">
        <v>206440</v>
      </c>
      <c r="AR43" s="1">
        <v>1229435</v>
      </c>
      <c r="AS43" s="1">
        <v>0</v>
      </c>
      <c r="AT43" s="1">
        <v>2348835.71</v>
      </c>
      <c r="AU43" s="1">
        <v>620231.92000000004</v>
      </c>
      <c r="AV43" s="1">
        <v>7231521.9100000001</v>
      </c>
      <c r="AW43" s="1">
        <v>1660095.55</v>
      </c>
    </row>
    <row r="44" spans="1:49" ht="18" customHeight="1" x14ac:dyDescent="0.45">
      <c r="A44" s="24" t="s">
        <v>42</v>
      </c>
      <c r="B44" s="25">
        <f>SUMIFS('M1'!$C:$C,'M1'!$B:$B,$A44)</f>
        <v>380</v>
      </c>
      <c r="C44" s="25">
        <f>SUMIFS('M1'!$D:$D,'M1'!$B:$B,$A44)</f>
        <v>159</v>
      </c>
      <c r="D44" s="26">
        <f>SUMIFS('M1'!$E:$E,'M1'!$B:$B,$A44)</f>
        <v>33600579.329999998</v>
      </c>
      <c r="E44" s="26">
        <f>SUMIFS('M1'!$F:$F,'M1'!$B:$B,$A44)</f>
        <v>18218781.039999999</v>
      </c>
      <c r="F44" s="27">
        <f t="shared" si="0"/>
        <v>0.41842105263157897</v>
      </c>
      <c r="G44" s="27">
        <f t="shared" ref="G44" si="5">IFERROR(E44/D44,"")</f>
        <v>0.54221627731678756</v>
      </c>
      <c r="H44" s="25">
        <f>SUMIFS('M2'!$C:$C,'M2'!$B:$B,$A44)</f>
        <v>209</v>
      </c>
      <c r="I44" s="25">
        <f>SUMIFS('M2'!$D:$D,'M2'!$B:$B,$A44)</f>
        <v>18</v>
      </c>
      <c r="J44" s="26">
        <f>SUMIFS('M2'!$E:$E,'M2'!$B:$B,$A44)</f>
        <v>14518214.970000003</v>
      </c>
      <c r="K44" s="26">
        <f>SUMIFS('M2'!$F:$F,'M2'!$B:$B,$A44)</f>
        <v>1097390.58</v>
      </c>
      <c r="L44" s="27">
        <f t="shared" si="1"/>
        <v>8.6124401913875603E-2</v>
      </c>
      <c r="M44" s="27">
        <f t="shared" ref="M44" si="6">IFERROR(K44/J44,"")</f>
        <v>7.5587156015227391E-2</v>
      </c>
      <c r="N44" s="26">
        <f t="shared" si="2"/>
        <v>19316171.619999997</v>
      </c>
      <c r="W44" s="28" t="s">
        <v>32</v>
      </c>
      <c r="X44" s="1">
        <v>1141017.6000000001</v>
      </c>
      <c r="Y44" s="1">
        <v>309900</v>
      </c>
      <c r="Z44" s="1">
        <v>1570555.45</v>
      </c>
      <c r="AA44" s="1">
        <v>602560</v>
      </c>
      <c r="AB44" s="1">
        <v>350267.5</v>
      </c>
      <c r="AC44" s="1">
        <v>142540</v>
      </c>
      <c r="AD44" s="1">
        <v>1122441.6000000001</v>
      </c>
      <c r="AE44" s="1">
        <v>521691</v>
      </c>
      <c r="AF44" s="1">
        <v>1068494.5</v>
      </c>
      <c r="AG44" s="1">
        <v>190565.78</v>
      </c>
      <c r="AH44" s="1">
        <v>2654509.4</v>
      </c>
      <c r="AI44" s="1">
        <v>918624</v>
      </c>
      <c r="AJ44" s="1">
        <v>1087217.42</v>
      </c>
      <c r="AK44" s="1">
        <v>689671.63</v>
      </c>
      <c r="AL44" s="1">
        <v>788113.5</v>
      </c>
      <c r="AM44" s="1">
        <v>358894</v>
      </c>
      <c r="AN44" s="1">
        <v>1536495</v>
      </c>
      <c r="AO44" s="1">
        <v>437935</v>
      </c>
      <c r="AP44" s="1">
        <v>1636040.74</v>
      </c>
      <c r="AQ44" s="1">
        <v>234774</v>
      </c>
      <c r="AR44" s="1">
        <v>1647560</v>
      </c>
      <c r="AS44" s="1">
        <v>1040290</v>
      </c>
      <c r="AT44" s="1">
        <v>1953959.68</v>
      </c>
      <c r="AU44" s="1">
        <v>941761.6</v>
      </c>
      <c r="AV44" s="1">
        <v>16556672.390000001</v>
      </c>
      <c r="AW44" s="1">
        <v>6389207.0099999998</v>
      </c>
    </row>
    <row r="45" spans="1:49" ht="15" customHeight="1" x14ac:dyDescent="0.45">
      <c r="W45" s="28" t="s">
        <v>41</v>
      </c>
      <c r="X45" s="1">
        <v>0</v>
      </c>
      <c r="Y45" s="1">
        <v>0</v>
      </c>
      <c r="Z45" s="1">
        <v>0</v>
      </c>
      <c r="AA45" s="1">
        <v>0</v>
      </c>
      <c r="AB45" s="1">
        <v>0</v>
      </c>
      <c r="AC45" s="1">
        <v>0</v>
      </c>
      <c r="AD45" s="1">
        <v>0</v>
      </c>
      <c r="AE45" s="1">
        <v>0</v>
      </c>
      <c r="AF45" s="1">
        <v>0</v>
      </c>
      <c r="AG45" s="1">
        <v>0</v>
      </c>
      <c r="AH45" s="1">
        <v>0</v>
      </c>
      <c r="AI45" s="1">
        <v>0</v>
      </c>
      <c r="AJ45" s="1">
        <v>0</v>
      </c>
      <c r="AK45" s="1">
        <v>0</v>
      </c>
      <c r="AL45" s="1">
        <v>0</v>
      </c>
      <c r="AM45" s="1">
        <v>0</v>
      </c>
      <c r="AN45" s="1">
        <v>0</v>
      </c>
      <c r="AO45" s="1">
        <v>0</v>
      </c>
      <c r="AP45" s="1">
        <v>0</v>
      </c>
      <c r="AQ45" s="1">
        <v>0</v>
      </c>
      <c r="AR45" s="1">
        <v>0</v>
      </c>
      <c r="AS45" s="1">
        <v>0</v>
      </c>
      <c r="AT45" s="1">
        <v>0</v>
      </c>
      <c r="AU45" s="1">
        <v>0</v>
      </c>
      <c r="AV45" s="1">
        <v>0</v>
      </c>
      <c r="AW45" s="1">
        <v>0</v>
      </c>
    </row>
    <row r="46" spans="1:49" ht="15" customHeight="1" x14ac:dyDescent="0.45">
      <c r="W46" s="28" t="s">
        <v>58</v>
      </c>
      <c r="X46" s="1">
        <v>3389415.68</v>
      </c>
      <c r="Y46" s="1">
        <v>995993.88</v>
      </c>
      <c r="Z46" s="1">
        <v>3610219.3</v>
      </c>
      <c r="AA46" s="1">
        <v>1559863.35</v>
      </c>
      <c r="AB46" s="1">
        <v>3170752.41</v>
      </c>
      <c r="AC46" s="1">
        <v>1440418.1600000001</v>
      </c>
      <c r="AD46" s="1">
        <v>3646308.3800000004</v>
      </c>
      <c r="AE46" s="1">
        <v>1498696</v>
      </c>
      <c r="AF46" s="1">
        <v>2289694.0300000003</v>
      </c>
      <c r="AG46" s="1">
        <v>371700.78</v>
      </c>
      <c r="AH46" s="1">
        <v>4816077.4000000004</v>
      </c>
      <c r="AI46" s="1">
        <v>1981261.75</v>
      </c>
      <c r="AJ46" s="1">
        <v>2660173.27</v>
      </c>
      <c r="AK46" s="1">
        <v>1394738.48</v>
      </c>
      <c r="AL46" s="1">
        <v>2697532.65</v>
      </c>
      <c r="AM46" s="1">
        <v>832994</v>
      </c>
      <c r="AN46" s="1">
        <v>5869995.9299999997</v>
      </c>
      <c r="AO46" s="1">
        <v>3260034.19</v>
      </c>
      <c r="AP46" s="1">
        <v>3997718.13</v>
      </c>
      <c r="AQ46" s="1">
        <v>1086504.42</v>
      </c>
      <c r="AR46" s="1">
        <v>5439118.2599999998</v>
      </c>
      <c r="AS46" s="1">
        <v>2143565</v>
      </c>
      <c r="AT46" s="1">
        <v>6531788.8599999994</v>
      </c>
      <c r="AU46" s="1">
        <v>2750401.6100000003</v>
      </c>
      <c r="AV46" s="1">
        <v>48118794.299999997</v>
      </c>
      <c r="AW46" s="1">
        <v>19316171.619999997</v>
      </c>
    </row>
  </sheetData>
  <mergeCells count="16">
    <mergeCell ref="A6:F6"/>
    <mergeCell ref="E18:F18"/>
    <mergeCell ref="E19:F19"/>
    <mergeCell ref="A1:F1"/>
    <mergeCell ref="A21:F21"/>
    <mergeCell ref="E7:F7"/>
    <mergeCell ref="E8:F8"/>
    <mergeCell ref="E9:F9"/>
    <mergeCell ref="E10:F10"/>
    <mergeCell ref="E11:F11"/>
    <mergeCell ref="E12:F12"/>
    <mergeCell ref="E13:F13"/>
    <mergeCell ref="E14:F14"/>
    <mergeCell ref="E15:F15"/>
    <mergeCell ref="E16:F16"/>
    <mergeCell ref="E17:F17"/>
  </mergeCells>
  <conditionalFormatting sqref="G34:G44">
    <cfRule type="colorScale" priority="1">
      <colorScale>
        <cfvo type="min"/>
        <cfvo type="percentile" val="50"/>
        <cfvo type="max"/>
        <color rgb="FFF8696B"/>
        <color rgb="FFFFEB84"/>
        <color rgb="FF63BE7B"/>
      </colorScale>
    </cfRule>
  </conditionalFormatting>
  <conditionalFormatting sqref="M34:M44">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3"/>
  <sheetViews>
    <sheetView showGridLines="0" topLeftCell="A126" zoomScale="76" zoomScaleNormal="100" workbookViewId="0">
      <selection activeCell="A143" sqref="A143:I383"/>
    </sheetView>
  </sheetViews>
  <sheetFormatPr defaultColWidth="8.6640625" defaultRowHeight="15" customHeight="1" x14ac:dyDescent="0.45"/>
  <cols>
    <col min="1" max="1" width="20.59765625" customWidth="1"/>
    <col min="2" max="2" width="28.3984375" bestFit="1" customWidth="1"/>
    <col min="3" max="8" width="20.59765625" customWidth="1"/>
    <col min="9" max="9" width="13.46484375" customWidth="1"/>
  </cols>
  <sheetData>
    <row r="1" spans="1:8" ht="27" x14ac:dyDescent="0.45">
      <c r="A1" s="3" t="s">
        <v>25</v>
      </c>
      <c r="B1" s="3" t="s">
        <v>12</v>
      </c>
      <c r="C1" s="3" t="s">
        <v>26</v>
      </c>
      <c r="D1" s="3" t="s">
        <v>27</v>
      </c>
      <c r="E1" s="3" t="s">
        <v>28</v>
      </c>
      <c r="F1" s="3" t="s">
        <v>29</v>
      </c>
      <c r="G1" s="3" t="s">
        <v>30</v>
      </c>
      <c r="H1" s="3" t="s">
        <v>31</v>
      </c>
    </row>
    <row r="2" spans="1:8" ht="20" customHeight="1" x14ac:dyDescent="0.45">
      <c r="A2" s="2" t="s">
        <v>13</v>
      </c>
      <c r="B2" s="2" t="s">
        <v>32</v>
      </c>
      <c r="C2" s="6">
        <v>22</v>
      </c>
      <c r="D2" s="6">
        <v>6</v>
      </c>
      <c r="E2" s="5">
        <v>1693097.68</v>
      </c>
      <c r="F2" s="5">
        <v>941761.6</v>
      </c>
      <c r="G2" s="4">
        <f>IFERROR(D2/C2,"")</f>
        <v>0.27272727272727271</v>
      </c>
      <c r="H2" s="4">
        <f>IFERROR(F2/E2,"")</f>
        <v>0.55623583395377396</v>
      </c>
    </row>
    <row r="3" spans="1:8" ht="20" customHeight="1" x14ac:dyDescent="0.45">
      <c r="A3" s="2" t="s">
        <v>13</v>
      </c>
      <c r="B3" s="2" t="s">
        <v>33</v>
      </c>
      <c r="C3" s="6">
        <v>16</v>
      </c>
      <c r="D3" s="6">
        <v>4</v>
      </c>
      <c r="E3" s="5">
        <v>2296595.71</v>
      </c>
      <c r="F3" s="5">
        <v>620231.92000000004</v>
      </c>
      <c r="G3" s="4">
        <f>IFERROR(D3/C3,"")</f>
        <v>0.25</v>
      </c>
      <c r="H3" s="4">
        <f>IFERROR(F3/E3,"")</f>
        <v>0.27006578358539218</v>
      </c>
    </row>
    <row r="4" spans="1:8" ht="20" customHeight="1" x14ac:dyDescent="0.45">
      <c r="A4" s="2" t="s">
        <v>13</v>
      </c>
      <c r="B4" s="2" t="s">
        <v>34</v>
      </c>
      <c r="C4" s="6">
        <v>1</v>
      </c>
      <c r="D4" s="6">
        <v>1</v>
      </c>
      <c r="E4" s="5">
        <v>52335</v>
      </c>
      <c r="F4" s="5">
        <v>66255</v>
      </c>
      <c r="G4" s="4">
        <f>IFERROR(D4/C4,"")</f>
        <v>1</v>
      </c>
      <c r="H4" s="4">
        <f>IFERROR(F4/E4,"")</f>
        <v>1.2659787904843796</v>
      </c>
    </row>
    <row r="5" spans="1:8" ht="20" customHeight="1" x14ac:dyDescent="0.45">
      <c r="A5" s="2" t="s">
        <v>13</v>
      </c>
      <c r="B5" s="2" t="s">
        <v>35</v>
      </c>
      <c r="C5" s="6">
        <v>10</v>
      </c>
      <c r="D5" s="6">
        <v>4</v>
      </c>
      <c r="E5" s="5">
        <v>641080.21</v>
      </c>
      <c r="F5" s="5">
        <v>441014.09</v>
      </c>
      <c r="G5" s="4">
        <f>IFERROR(D5/C5,"")</f>
        <v>0.4</v>
      </c>
      <c r="H5" s="4">
        <f>IFERROR(F5/E5,"")</f>
        <v>0.68792341913034571</v>
      </c>
    </row>
    <row r="6" spans="1:8" ht="20" customHeight="1" x14ac:dyDescent="0.45">
      <c r="A6" s="2" t="s">
        <v>13</v>
      </c>
      <c r="B6" s="2" t="s">
        <v>36</v>
      </c>
      <c r="C6" s="6">
        <v>0</v>
      </c>
      <c r="D6" s="6">
        <v>0</v>
      </c>
      <c r="E6" s="5">
        <v>0</v>
      </c>
      <c r="F6" s="5">
        <v>0</v>
      </c>
      <c r="G6" s="4" t="str">
        <f>IFERROR(D6/C6,"")</f>
        <v/>
      </c>
      <c r="H6" s="4" t="str">
        <f>IFERROR(F6/E6,"")</f>
        <v/>
      </c>
    </row>
    <row r="7" spans="1:8" ht="20" customHeight="1" x14ac:dyDescent="0.45">
      <c r="A7" s="2" t="s">
        <v>13</v>
      </c>
      <c r="B7" s="2" t="s">
        <v>37</v>
      </c>
      <c r="C7" s="6">
        <v>6</v>
      </c>
      <c r="D7" s="6">
        <v>2</v>
      </c>
      <c r="E7" s="5">
        <v>242070</v>
      </c>
      <c r="F7" s="5">
        <v>106675</v>
      </c>
      <c r="G7" s="4">
        <f>IFERROR(D7/C7,"")</f>
        <v>0.33333333333333331</v>
      </c>
      <c r="H7" s="4">
        <f>IFERROR(F7/E7,"")</f>
        <v>0.44067831618953196</v>
      </c>
    </row>
    <row r="8" spans="1:8" ht="20" customHeight="1" x14ac:dyDescent="0.45">
      <c r="A8" s="2" t="s">
        <v>13</v>
      </c>
      <c r="B8" s="2" t="s">
        <v>38</v>
      </c>
      <c r="C8" s="6">
        <v>3</v>
      </c>
      <c r="D8" s="6">
        <v>2</v>
      </c>
      <c r="E8" s="5">
        <v>150075</v>
      </c>
      <c r="F8" s="5">
        <v>111565</v>
      </c>
      <c r="G8" s="4">
        <f>IFERROR(D8/C8,"")</f>
        <v>0.66666666666666663</v>
      </c>
      <c r="H8" s="4">
        <f>IFERROR(F8/E8,"")</f>
        <v>0.74339496918207559</v>
      </c>
    </row>
    <row r="9" spans="1:8" ht="20" customHeight="1" x14ac:dyDescent="0.45">
      <c r="A9" s="2" t="s">
        <v>13</v>
      </c>
      <c r="B9" s="2" t="s">
        <v>39</v>
      </c>
      <c r="C9" s="6">
        <v>9</v>
      </c>
      <c r="D9" s="6">
        <v>4</v>
      </c>
      <c r="E9" s="5">
        <v>911513.26</v>
      </c>
      <c r="F9" s="5">
        <v>389519</v>
      </c>
      <c r="G9" s="4">
        <f>IFERROR(D9/C9,"")</f>
        <v>0.44444444444444442</v>
      </c>
      <c r="H9" s="4">
        <f>IFERROR(F9/E9,"")</f>
        <v>0.42733223650525937</v>
      </c>
    </row>
    <row r="10" spans="1:8" ht="20" customHeight="1" x14ac:dyDescent="0.45">
      <c r="A10" s="2" t="s">
        <v>13</v>
      </c>
      <c r="B10" s="2" t="s">
        <v>40</v>
      </c>
      <c r="C10" s="6">
        <v>0</v>
      </c>
      <c r="D10" s="6">
        <v>0</v>
      </c>
      <c r="E10" s="5">
        <v>0</v>
      </c>
      <c r="F10" s="5">
        <v>0</v>
      </c>
      <c r="G10" s="4" t="str">
        <f>IFERROR(D10/C10,"")</f>
        <v/>
      </c>
      <c r="H10" s="4" t="str">
        <f>IFERROR(F10/E10,"")</f>
        <v/>
      </c>
    </row>
    <row r="11" spans="1:8" ht="20" customHeight="1" x14ac:dyDescent="0.45">
      <c r="A11" s="2" t="s">
        <v>13</v>
      </c>
      <c r="B11" s="2" t="s">
        <v>41</v>
      </c>
      <c r="C11" s="6">
        <v>0</v>
      </c>
      <c r="D11" s="6">
        <v>0</v>
      </c>
      <c r="E11" s="5">
        <v>0</v>
      </c>
      <c r="F11" s="5">
        <v>0</v>
      </c>
      <c r="G11" s="4" t="str">
        <f>IFERROR(D11/C11,"")</f>
        <v/>
      </c>
      <c r="H11" s="4" t="str">
        <f>IFERROR(F11/E11,"")</f>
        <v/>
      </c>
    </row>
    <row r="12" spans="1:8" ht="20" customHeight="1" x14ac:dyDescent="0.45">
      <c r="A12" s="7" t="s">
        <v>13</v>
      </c>
      <c r="B12" s="7" t="s">
        <v>42</v>
      </c>
      <c r="C12" s="8">
        <v>67</v>
      </c>
      <c r="D12" s="8">
        <v>23</v>
      </c>
      <c r="E12" s="9">
        <v>5986766.8600000003</v>
      </c>
      <c r="F12" s="9">
        <v>2677021.61</v>
      </c>
      <c r="G12" s="10">
        <f>IFERROR(D12/C12,"")</f>
        <v>0.34328358208955223</v>
      </c>
      <c r="H12" s="10">
        <f>IFERROR(F12/E12,"")</f>
        <v>0.44715648238889327</v>
      </c>
    </row>
    <row r="13" spans="1:8" ht="20" customHeight="1" x14ac:dyDescent="0.45">
      <c r="A13" s="2" t="s">
        <v>14</v>
      </c>
      <c r="B13" s="2" t="s">
        <v>32</v>
      </c>
      <c r="C13" s="6">
        <v>5</v>
      </c>
      <c r="D13" s="6">
        <v>2</v>
      </c>
      <c r="E13" s="5">
        <v>756225</v>
      </c>
      <c r="F13" s="5">
        <v>874015</v>
      </c>
      <c r="G13" s="4">
        <f>IFERROR(D13/C13,"")</f>
        <v>0.4</v>
      </c>
      <c r="H13" s="4">
        <f>IFERROR(F13/E13,"")</f>
        <v>1.155760521008959</v>
      </c>
    </row>
    <row r="14" spans="1:8" ht="20" customHeight="1" x14ac:dyDescent="0.45">
      <c r="A14" s="2" t="s">
        <v>14</v>
      </c>
      <c r="B14" s="2" t="s">
        <v>33</v>
      </c>
      <c r="C14" s="6">
        <v>0</v>
      </c>
      <c r="D14" s="6">
        <v>0</v>
      </c>
      <c r="E14" s="5">
        <v>0</v>
      </c>
      <c r="F14" s="5">
        <v>0</v>
      </c>
      <c r="G14" s="4" t="str">
        <f>IFERROR(D14/C14,"")</f>
        <v/>
      </c>
      <c r="H14" s="4" t="str">
        <f>IFERROR(F14/E14,"")</f>
        <v/>
      </c>
    </row>
    <row r="15" spans="1:8" ht="20" customHeight="1" x14ac:dyDescent="0.45">
      <c r="A15" s="2" t="s">
        <v>14</v>
      </c>
      <c r="B15" s="2" t="s">
        <v>34</v>
      </c>
      <c r="C15" s="6">
        <v>2</v>
      </c>
      <c r="D15" s="6">
        <v>1</v>
      </c>
      <c r="E15" s="5">
        <v>66255</v>
      </c>
      <c r="F15" s="5">
        <v>56115</v>
      </c>
      <c r="G15" s="4">
        <f>IFERROR(D15/C15,"")</f>
        <v>0.5</v>
      </c>
      <c r="H15" s="4">
        <f>IFERROR(F15/E15,"")</f>
        <v>0.84695494679646821</v>
      </c>
    </row>
    <row r="16" spans="1:8" ht="20" customHeight="1" x14ac:dyDescent="0.45">
      <c r="A16" s="2" t="s">
        <v>14</v>
      </c>
      <c r="B16" s="2" t="s">
        <v>35</v>
      </c>
      <c r="C16" s="6">
        <v>2</v>
      </c>
      <c r="D16" s="6">
        <v>2</v>
      </c>
      <c r="E16" s="5">
        <v>900420</v>
      </c>
      <c r="F16" s="5">
        <v>813660</v>
      </c>
      <c r="G16" s="4">
        <f>IFERROR(D16/C16,"")</f>
        <v>1</v>
      </c>
      <c r="H16" s="4">
        <f>IFERROR(F16/E16,"")</f>
        <v>0.90364496568268138</v>
      </c>
    </row>
    <row r="17" spans="1:8" ht="20" customHeight="1" x14ac:dyDescent="0.45">
      <c r="A17" s="2" t="s">
        <v>14</v>
      </c>
      <c r="B17" s="2" t="s">
        <v>36</v>
      </c>
      <c r="C17" s="6">
        <v>0</v>
      </c>
      <c r="D17" s="6">
        <v>0</v>
      </c>
      <c r="E17" s="5">
        <v>0</v>
      </c>
      <c r="F17" s="5">
        <v>0</v>
      </c>
      <c r="G17" s="4" t="str">
        <f>IFERROR(D17/C17,"")</f>
        <v/>
      </c>
      <c r="H17" s="4" t="str">
        <f>IFERROR(F17/E17,"")</f>
        <v/>
      </c>
    </row>
    <row r="18" spans="1:8" ht="20" customHeight="1" x14ac:dyDescent="0.45">
      <c r="A18" s="2" t="s">
        <v>14</v>
      </c>
      <c r="B18" s="2" t="s">
        <v>37</v>
      </c>
      <c r="C18" s="6">
        <v>4</v>
      </c>
      <c r="D18" s="6">
        <v>0</v>
      </c>
      <c r="E18" s="5">
        <v>193877</v>
      </c>
      <c r="F18" s="5">
        <v>0</v>
      </c>
      <c r="G18" s="4">
        <f>IFERROR(D18/C18,"")</f>
        <v>0</v>
      </c>
      <c r="H18" s="4">
        <f>IFERROR(F18/E18,"")</f>
        <v>0</v>
      </c>
    </row>
    <row r="19" spans="1:8" ht="20" customHeight="1" x14ac:dyDescent="0.45">
      <c r="A19" s="2" t="s">
        <v>14</v>
      </c>
      <c r="B19" s="2" t="s">
        <v>38</v>
      </c>
      <c r="C19" s="6">
        <v>1</v>
      </c>
      <c r="D19" s="6">
        <v>0</v>
      </c>
      <c r="E19" s="5">
        <v>48000</v>
      </c>
      <c r="F19" s="5">
        <v>0</v>
      </c>
      <c r="G19" s="4">
        <f>IFERROR(D19/C19,"")</f>
        <v>0</v>
      </c>
      <c r="H19" s="4">
        <f>IFERROR(F19/E19,"")</f>
        <v>0</v>
      </c>
    </row>
    <row r="20" spans="1:8" ht="20" customHeight="1" x14ac:dyDescent="0.45">
      <c r="A20" s="2" t="s">
        <v>14</v>
      </c>
      <c r="B20" s="2" t="s">
        <v>39</v>
      </c>
      <c r="C20" s="6">
        <v>6</v>
      </c>
      <c r="D20" s="6">
        <v>1</v>
      </c>
      <c r="E20" s="5">
        <v>584298.5</v>
      </c>
      <c r="F20" s="5">
        <v>137155</v>
      </c>
      <c r="G20" s="4">
        <f>IFERROR(D20/C20,"")</f>
        <v>0.16666666666666666</v>
      </c>
      <c r="H20" s="4">
        <f>IFERROR(F20/E20,"")</f>
        <v>0.23473447219186769</v>
      </c>
    </row>
    <row r="21" spans="1:8" ht="20" customHeight="1" x14ac:dyDescent="0.45">
      <c r="A21" s="2" t="s">
        <v>14</v>
      </c>
      <c r="B21" s="2" t="s">
        <v>40</v>
      </c>
      <c r="C21" s="6">
        <v>0</v>
      </c>
      <c r="D21" s="6">
        <v>0</v>
      </c>
      <c r="E21" s="5">
        <v>0</v>
      </c>
      <c r="F21" s="5">
        <v>0</v>
      </c>
      <c r="G21" s="4" t="str">
        <f>IFERROR(D21/C21,"")</f>
        <v/>
      </c>
      <c r="H21" s="4" t="str">
        <f>IFERROR(F21/E21,"")</f>
        <v/>
      </c>
    </row>
    <row r="22" spans="1:8" ht="20" customHeight="1" x14ac:dyDescent="0.45">
      <c r="A22" s="2" t="s">
        <v>14</v>
      </c>
      <c r="B22" s="2" t="s">
        <v>41</v>
      </c>
      <c r="C22" s="6">
        <v>0</v>
      </c>
      <c r="D22" s="6">
        <v>0</v>
      </c>
      <c r="E22" s="5">
        <v>0</v>
      </c>
      <c r="F22" s="5">
        <v>0</v>
      </c>
      <c r="G22" s="4" t="str">
        <f>IFERROR(D22/C22,"")</f>
        <v/>
      </c>
      <c r="H22" s="4" t="str">
        <f>IFERROR(F22/E22,"")</f>
        <v/>
      </c>
    </row>
    <row r="23" spans="1:8" ht="20" customHeight="1" x14ac:dyDescent="0.45">
      <c r="A23" s="7" t="s">
        <v>14</v>
      </c>
      <c r="B23" s="7" t="s">
        <v>42</v>
      </c>
      <c r="C23" s="8">
        <v>20</v>
      </c>
      <c r="D23" s="8">
        <v>6</v>
      </c>
      <c r="E23" s="9">
        <v>2549075.5</v>
      </c>
      <c r="F23" s="9">
        <v>1880945</v>
      </c>
      <c r="G23" s="10">
        <f>IFERROR(D23/C23,"")</f>
        <v>0.3</v>
      </c>
      <c r="H23" s="10">
        <f>IFERROR(F23/E23,"")</f>
        <v>0.73789301258436635</v>
      </c>
    </row>
    <row r="24" spans="1:8" ht="20" customHeight="1" x14ac:dyDescent="0.45">
      <c r="A24" s="2" t="s">
        <v>15</v>
      </c>
      <c r="B24" s="2" t="s">
        <v>32</v>
      </c>
      <c r="C24" s="6">
        <v>9</v>
      </c>
      <c r="D24" s="6">
        <v>5</v>
      </c>
      <c r="E24" s="5">
        <v>991467.42</v>
      </c>
      <c r="F24" s="5">
        <v>621897.55000000005</v>
      </c>
      <c r="G24" s="4">
        <f>IFERROR(D24/C24,"")</f>
        <v>0.55555555555555558</v>
      </c>
      <c r="H24" s="4">
        <f>IFERROR(F24/E24,"")</f>
        <v>0.62724960745558334</v>
      </c>
    </row>
    <row r="25" spans="1:8" ht="20" customHeight="1" x14ac:dyDescent="0.45">
      <c r="A25" s="2" t="s">
        <v>15</v>
      </c>
      <c r="B25" s="2" t="s">
        <v>33</v>
      </c>
      <c r="C25" s="6">
        <v>4</v>
      </c>
      <c r="D25" s="6">
        <v>1</v>
      </c>
      <c r="E25" s="5">
        <v>229633.75</v>
      </c>
      <c r="F25" s="5">
        <v>102433.75</v>
      </c>
      <c r="G25" s="4">
        <f>IFERROR(D25/C25,"")</f>
        <v>0.25</v>
      </c>
      <c r="H25" s="4">
        <f>IFERROR(F25/E25,"")</f>
        <v>0.44607445551884251</v>
      </c>
    </row>
    <row r="26" spans="1:8" ht="20" customHeight="1" x14ac:dyDescent="0.45">
      <c r="A26" s="2" t="s">
        <v>15</v>
      </c>
      <c r="B26" s="2" t="s">
        <v>34</v>
      </c>
      <c r="C26" s="6">
        <v>1</v>
      </c>
      <c r="D26" s="6">
        <v>0</v>
      </c>
      <c r="E26" s="5">
        <v>0</v>
      </c>
      <c r="F26" s="5">
        <v>0</v>
      </c>
      <c r="G26" s="4">
        <f>IFERROR(D26/C26,"")</f>
        <v>0</v>
      </c>
      <c r="H26" s="4" t="str">
        <f>IFERROR(F26/E26,"")</f>
        <v/>
      </c>
    </row>
    <row r="27" spans="1:8" ht="20" customHeight="1" x14ac:dyDescent="0.45">
      <c r="A27" s="2" t="s">
        <v>15</v>
      </c>
      <c r="B27" s="2" t="s">
        <v>35</v>
      </c>
      <c r="C27" s="6">
        <v>1</v>
      </c>
      <c r="D27" s="6">
        <v>1</v>
      </c>
      <c r="E27" s="5">
        <v>5306.6</v>
      </c>
      <c r="F27" s="5">
        <v>12898.1</v>
      </c>
      <c r="G27" s="4">
        <f>IFERROR(D27/C27,"")</f>
        <v>1</v>
      </c>
      <c r="H27" s="4">
        <f>IFERROR(F27/E27,"")</f>
        <v>2.4305770172992123</v>
      </c>
    </row>
    <row r="28" spans="1:8" ht="20" customHeight="1" x14ac:dyDescent="0.45">
      <c r="A28" s="2" t="s">
        <v>15</v>
      </c>
      <c r="B28" s="2" t="s">
        <v>36</v>
      </c>
      <c r="C28" s="6">
        <v>0</v>
      </c>
      <c r="D28" s="6">
        <v>0</v>
      </c>
      <c r="E28" s="5">
        <v>0</v>
      </c>
      <c r="F28" s="5">
        <v>0</v>
      </c>
      <c r="G28" s="4" t="str">
        <f>IFERROR(D28/C28,"")</f>
        <v/>
      </c>
      <c r="H28" s="4" t="str">
        <f>IFERROR(F28/E28,"")</f>
        <v/>
      </c>
    </row>
    <row r="29" spans="1:8" ht="20" customHeight="1" x14ac:dyDescent="0.45">
      <c r="A29" s="2" t="s">
        <v>15</v>
      </c>
      <c r="B29" s="2" t="s">
        <v>37</v>
      </c>
      <c r="C29" s="6">
        <v>7</v>
      </c>
      <c r="D29" s="6">
        <v>3</v>
      </c>
      <c r="E29" s="5">
        <v>382865</v>
      </c>
      <c r="F29" s="5">
        <v>262080</v>
      </c>
      <c r="G29" s="4">
        <f>IFERROR(D29/C29,"")</f>
        <v>0.42857142857142855</v>
      </c>
      <c r="H29" s="4">
        <f>IFERROR(F29/E29,"")</f>
        <v>0.68452326538074781</v>
      </c>
    </row>
    <row r="30" spans="1:8" ht="20" customHeight="1" x14ac:dyDescent="0.45">
      <c r="A30" s="2" t="s">
        <v>15</v>
      </c>
      <c r="B30" s="2" t="s">
        <v>38</v>
      </c>
      <c r="C30" s="6">
        <v>0</v>
      </c>
      <c r="D30" s="6">
        <v>0</v>
      </c>
      <c r="E30" s="5">
        <v>0</v>
      </c>
      <c r="F30" s="5">
        <v>0</v>
      </c>
      <c r="G30" s="4" t="str">
        <f>IFERROR(D30/C30,"")</f>
        <v/>
      </c>
      <c r="H30" s="4" t="str">
        <f>IFERROR(F30/E30,"")</f>
        <v/>
      </c>
    </row>
    <row r="31" spans="1:8" ht="20" customHeight="1" x14ac:dyDescent="0.45">
      <c r="A31" s="2" t="s">
        <v>15</v>
      </c>
      <c r="B31" s="2" t="s">
        <v>39</v>
      </c>
      <c r="C31" s="6">
        <v>6</v>
      </c>
      <c r="D31" s="6">
        <v>3</v>
      </c>
      <c r="E31" s="5">
        <v>290060</v>
      </c>
      <c r="F31" s="5">
        <v>272430</v>
      </c>
      <c r="G31" s="4">
        <f>IFERROR(D31/C31,"")</f>
        <v>0.5</v>
      </c>
      <c r="H31" s="4">
        <f>IFERROR(F31/E31,"")</f>
        <v>0.93921947183341381</v>
      </c>
    </row>
    <row r="32" spans="1:8" ht="20" customHeight="1" x14ac:dyDescent="0.45">
      <c r="A32" s="2" t="s">
        <v>15</v>
      </c>
      <c r="B32" s="2" t="s">
        <v>40</v>
      </c>
      <c r="C32" s="6">
        <v>0</v>
      </c>
      <c r="D32" s="6">
        <v>0</v>
      </c>
      <c r="E32" s="5">
        <v>0</v>
      </c>
      <c r="F32" s="5">
        <v>0</v>
      </c>
      <c r="G32" s="4" t="str">
        <f>IFERROR(D32/C32,"")</f>
        <v/>
      </c>
      <c r="H32" s="4" t="str">
        <f>IFERROR(F32/E32,"")</f>
        <v/>
      </c>
    </row>
    <row r="33" spans="1:8" ht="20" customHeight="1" x14ac:dyDescent="0.45">
      <c r="A33" s="2" t="s">
        <v>15</v>
      </c>
      <c r="B33" s="2" t="s">
        <v>41</v>
      </c>
      <c r="C33" s="6">
        <v>0</v>
      </c>
      <c r="D33" s="6">
        <v>0</v>
      </c>
      <c r="E33" s="5">
        <v>0</v>
      </c>
      <c r="F33" s="5">
        <v>0</v>
      </c>
      <c r="G33" s="4" t="str">
        <f>IFERROR(D33/C33,"")</f>
        <v/>
      </c>
      <c r="H33" s="4" t="str">
        <f>IFERROR(F33/E33,"")</f>
        <v/>
      </c>
    </row>
    <row r="34" spans="1:8" ht="20" customHeight="1" x14ac:dyDescent="0.45">
      <c r="A34" s="7" t="s">
        <v>15</v>
      </c>
      <c r="B34" s="7" t="s">
        <v>42</v>
      </c>
      <c r="C34" s="8">
        <v>28</v>
      </c>
      <c r="D34" s="8">
        <v>13</v>
      </c>
      <c r="E34" s="9">
        <v>1899332.77</v>
      </c>
      <c r="F34" s="9">
        <v>1271739.3999999999</v>
      </c>
      <c r="G34" s="10">
        <f>IFERROR(D34/C34,"")</f>
        <v>0.4642857142857143</v>
      </c>
      <c r="H34" s="10">
        <f>IFERROR(F34/E34,"")</f>
        <v>0.66957166226326936</v>
      </c>
    </row>
    <row r="35" spans="1:8" ht="20" customHeight="1" x14ac:dyDescent="0.45">
      <c r="A35" s="2" t="s">
        <v>16</v>
      </c>
      <c r="B35" s="2" t="s">
        <v>32</v>
      </c>
      <c r="C35" s="6">
        <v>11</v>
      </c>
      <c r="D35" s="6">
        <v>5</v>
      </c>
      <c r="E35" s="5">
        <v>1205775.45</v>
      </c>
      <c r="F35" s="5">
        <v>562360</v>
      </c>
      <c r="G35" s="4">
        <f>IFERROR(D35/C35,"")</f>
        <v>0.45454545454545453</v>
      </c>
      <c r="H35" s="4">
        <f>IFERROR(F35/E35,"")</f>
        <v>0.46638866299691206</v>
      </c>
    </row>
    <row r="36" spans="1:8" ht="20" customHeight="1" x14ac:dyDescent="0.45">
      <c r="A36" s="2" t="s">
        <v>16</v>
      </c>
      <c r="B36" s="2" t="s">
        <v>33</v>
      </c>
      <c r="C36" s="6">
        <v>4</v>
      </c>
      <c r="D36" s="6">
        <v>2</v>
      </c>
      <c r="E36" s="5">
        <v>821973.75</v>
      </c>
      <c r="F36" s="5">
        <v>228248</v>
      </c>
      <c r="G36" s="4">
        <f>IFERROR(D36/C36,"")</f>
        <v>0.5</v>
      </c>
      <c r="H36" s="4">
        <f>IFERROR(F36/E36,"")</f>
        <v>0.27768283354547513</v>
      </c>
    </row>
    <row r="37" spans="1:8" ht="20" customHeight="1" x14ac:dyDescent="0.45">
      <c r="A37" s="2" t="s">
        <v>16</v>
      </c>
      <c r="B37" s="2" t="s">
        <v>34</v>
      </c>
      <c r="C37" s="6">
        <v>1</v>
      </c>
      <c r="D37" s="6">
        <v>0</v>
      </c>
      <c r="E37" s="5">
        <v>1425</v>
      </c>
      <c r="F37" s="5">
        <v>0</v>
      </c>
      <c r="G37" s="4">
        <f>IFERROR(D37/C37,"")</f>
        <v>0</v>
      </c>
      <c r="H37" s="4">
        <f>IFERROR(F37/E37,"")</f>
        <v>0</v>
      </c>
    </row>
    <row r="38" spans="1:8" ht="20" customHeight="1" x14ac:dyDescent="0.45">
      <c r="A38" s="2" t="s">
        <v>16</v>
      </c>
      <c r="B38" s="2" t="s">
        <v>35</v>
      </c>
      <c r="C38" s="6">
        <v>2</v>
      </c>
      <c r="D38" s="6">
        <v>2</v>
      </c>
      <c r="E38" s="5">
        <v>77937.100000000006</v>
      </c>
      <c r="F38" s="5">
        <v>85640.35</v>
      </c>
      <c r="G38" s="4">
        <f>IFERROR(D38/C38,"")</f>
        <v>1</v>
      </c>
      <c r="H38" s="4">
        <f>IFERROR(F38/E38,"")</f>
        <v>1.0988393204263438</v>
      </c>
    </row>
    <row r="39" spans="1:8" ht="20" customHeight="1" x14ac:dyDescent="0.45">
      <c r="A39" s="2" t="s">
        <v>16</v>
      </c>
      <c r="B39" s="2" t="s">
        <v>36</v>
      </c>
      <c r="C39" s="6">
        <v>0</v>
      </c>
      <c r="D39" s="6">
        <v>0</v>
      </c>
      <c r="E39" s="5">
        <v>0</v>
      </c>
      <c r="F39" s="5">
        <v>0</v>
      </c>
      <c r="G39" s="4" t="str">
        <f>IFERROR(D39/C39,"")</f>
        <v/>
      </c>
      <c r="H39" s="4" t="str">
        <f>IFERROR(F39/E39,"")</f>
        <v/>
      </c>
    </row>
    <row r="40" spans="1:8" ht="20" customHeight="1" x14ac:dyDescent="0.45">
      <c r="A40" s="2" t="s">
        <v>16</v>
      </c>
      <c r="B40" s="2" t="s">
        <v>37</v>
      </c>
      <c r="C40" s="6">
        <v>7</v>
      </c>
      <c r="D40" s="6">
        <v>2</v>
      </c>
      <c r="E40" s="5">
        <v>383845</v>
      </c>
      <c r="F40" s="5">
        <v>111070</v>
      </c>
      <c r="G40" s="4">
        <f>IFERROR(D40/C40,"")</f>
        <v>0.2857142857142857</v>
      </c>
      <c r="H40" s="4">
        <f>IFERROR(F40/E40,"")</f>
        <v>0.28936159126730843</v>
      </c>
    </row>
    <row r="41" spans="1:8" ht="20" customHeight="1" x14ac:dyDescent="0.45">
      <c r="A41" s="2" t="s">
        <v>16</v>
      </c>
      <c r="B41" s="2" t="s">
        <v>38</v>
      </c>
      <c r="C41" s="6">
        <v>2</v>
      </c>
      <c r="D41" s="6">
        <v>2</v>
      </c>
      <c r="E41" s="5">
        <v>93075</v>
      </c>
      <c r="F41" s="5">
        <v>89920</v>
      </c>
      <c r="G41" s="4">
        <f>IFERROR(D41/C41,"")</f>
        <v>1</v>
      </c>
      <c r="H41" s="4">
        <f>IFERROR(F41/E41,"")</f>
        <v>0.9661026054257319</v>
      </c>
    </row>
    <row r="42" spans="1:8" ht="20" customHeight="1" x14ac:dyDescent="0.45">
      <c r="A42" s="2" t="s">
        <v>16</v>
      </c>
      <c r="B42" s="2" t="s">
        <v>39</v>
      </c>
      <c r="C42" s="6">
        <v>4</v>
      </c>
      <c r="D42" s="6">
        <v>3</v>
      </c>
      <c r="E42" s="5">
        <v>398453</v>
      </c>
      <c r="F42" s="5">
        <v>424685</v>
      </c>
      <c r="G42" s="4">
        <f>IFERROR(D42/C42,"")</f>
        <v>0.75</v>
      </c>
      <c r="H42" s="4">
        <f>IFERROR(F42/E42,"")</f>
        <v>1.0658346153749627</v>
      </c>
    </row>
    <row r="43" spans="1:8" ht="20" customHeight="1" x14ac:dyDescent="0.45">
      <c r="A43" s="2" t="s">
        <v>16</v>
      </c>
      <c r="B43" s="2" t="s">
        <v>40</v>
      </c>
      <c r="C43" s="6">
        <v>0</v>
      </c>
      <c r="D43" s="6">
        <v>0</v>
      </c>
      <c r="E43" s="5">
        <v>0</v>
      </c>
      <c r="F43" s="5">
        <v>0</v>
      </c>
      <c r="G43" s="4" t="str">
        <f>IFERROR(D43/C43,"")</f>
        <v/>
      </c>
      <c r="H43" s="4" t="str">
        <f>IFERROR(F43/E43,"")</f>
        <v/>
      </c>
    </row>
    <row r="44" spans="1:8" ht="20" customHeight="1" x14ac:dyDescent="0.45">
      <c r="A44" s="2" t="s">
        <v>16</v>
      </c>
      <c r="B44" s="2" t="s">
        <v>41</v>
      </c>
      <c r="C44" s="6">
        <v>0</v>
      </c>
      <c r="D44" s="6">
        <v>0</v>
      </c>
      <c r="E44" s="5">
        <v>0</v>
      </c>
      <c r="F44" s="5">
        <v>0</v>
      </c>
      <c r="G44" s="4" t="str">
        <f>IFERROR(D44/C44,"")</f>
        <v/>
      </c>
      <c r="H44" s="4" t="str">
        <f>IFERROR(F44/E44,"")</f>
        <v/>
      </c>
    </row>
    <row r="45" spans="1:8" ht="20" customHeight="1" x14ac:dyDescent="0.45">
      <c r="A45" s="7" t="s">
        <v>16</v>
      </c>
      <c r="B45" s="7" t="s">
        <v>42</v>
      </c>
      <c r="C45" s="8">
        <v>31</v>
      </c>
      <c r="D45" s="8">
        <v>16</v>
      </c>
      <c r="E45" s="9">
        <v>2982484.3</v>
      </c>
      <c r="F45" s="9">
        <v>1501923.35</v>
      </c>
      <c r="G45" s="10">
        <f>IFERROR(D45/C45,"")</f>
        <v>0.5161290322580645</v>
      </c>
      <c r="H45" s="10">
        <f>IFERROR(F45/E45,"")</f>
        <v>0.50358130971552817</v>
      </c>
    </row>
    <row r="46" spans="1:8" ht="20" customHeight="1" x14ac:dyDescent="0.45">
      <c r="A46" s="2" t="s">
        <v>17</v>
      </c>
      <c r="B46" s="2" t="s">
        <v>32</v>
      </c>
      <c r="C46" s="6">
        <v>11</v>
      </c>
      <c r="D46" s="6">
        <v>6</v>
      </c>
      <c r="E46" s="5">
        <v>2044918.5</v>
      </c>
      <c r="F46" s="5">
        <v>918624</v>
      </c>
      <c r="G46" s="4">
        <f>IFERROR(D46/C46,"")</f>
        <v>0.54545454545454541</v>
      </c>
      <c r="H46" s="4">
        <f>IFERROR(F46/E46,"")</f>
        <v>0.44922279298661538</v>
      </c>
    </row>
    <row r="47" spans="1:8" ht="20" customHeight="1" x14ac:dyDescent="0.45">
      <c r="A47" s="2" t="s">
        <v>17</v>
      </c>
      <c r="B47" s="2" t="s">
        <v>33</v>
      </c>
      <c r="C47" s="6">
        <v>1</v>
      </c>
      <c r="D47" s="6">
        <v>1</v>
      </c>
      <c r="E47" s="5">
        <v>138158</v>
      </c>
      <c r="F47" s="5">
        <v>138158</v>
      </c>
      <c r="G47" s="4">
        <f>IFERROR(D47/C47,"")</f>
        <v>1</v>
      </c>
      <c r="H47" s="4">
        <f>IFERROR(F47/E47,"")</f>
        <v>1</v>
      </c>
    </row>
    <row r="48" spans="1:8" ht="20" customHeight="1" x14ac:dyDescent="0.45">
      <c r="A48" s="2" t="s">
        <v>17</v>
      </c>
      <c r="B48" s="2" t="s">
        <v>34</v>
      </c>
      <c r="C48" s="6">
        <v>0</v>
      </c>
      <c r="D48" s="6">
        <v>0</v>
      </c>
      <c r="E48" s="5">
        <v>0</v>
      </c>
      <c r="F48" s="5">
        <v>0</v>
      </c>
      <c r="G48" s="4" t="str">
        <f>IFERROR(D48/C48,"")</f>
        <v/>
      </c>
      <c r="H48" s="4" t="str">
        <f>IFERROR(F48/E48,"")</f>
        <v/>
      </c>
    </row>
    <row r="49" spans="1:8" ht="20" customHeight="1" x14ac:dyDescent="0.45">
      <c r="A49" s="2" t="s">
        <v>17</v>
      </c>
      <c r="B49" s="2" t="s">
        <v>35</v>
      </c>
      <c r="C49" s="6">
        <v>3</v>
      </c>
      <c r="D49" s="6">
        <v>2</v>
      </c>
      <c r="E49" s="5">
        <v>410460</v>
      </c>
      <c r="F49" s="5">
        <v>488289.75</v>
      </c>
      <c r="G49" s="4">
        <f>IFERROR(D49/C49,"")</f>
        <v>0.66666666666666663</v>
      </c>
      <c r="H49" s="4">
        <f>IFERROR(F49/E49,"")</f>
        <v>1.1896159187253326</v>
      </c>
    </row>
    <row r="50" spans="1:8" ht="20" customHeight="1" x14ac:dyDescent="0.45">
      <c r="A50" s="2" t="s">
        <v>17</v>
      </c>
      <c r="B50" s="2" t="s">
        <v>36</v>
      </c>
      <c r="C50" s="6">
        <v>0</v>
      </c>
      <c r="D50" s="6">
        <v>0</v>
      </c>
      <c r="E50" s="5">
        <v>0</v>
      </c>
      <c r="F50" s="5">
        <v>0</v>
      </c>
      <c r="G50" s="4" t="str">
        <f>IFERROR(D50/C50,"")</f>
        <v/>
      </c>
      <c r="H50" s="4" t="str">
        <f>IFERROR(F50/E50,"")</f>
        <v/>
      </c>
    </row>
    <row r="51" spans="1:8" ht="20" customHeight="1" x14ac:dyDescent="0.45">
      <c r="A51" s="2" t="s">
        <v>17</v>
      </c>
      <c r="B51" s="2" t="s">
        <v>37</v>
      </c>
      <c r="C51" s="6">
        <v>8</v>
      </c>
      <c r="D51" s="6">
        <v>6</v>
      </c>
      <c r="E51" s="5">
        <v>464365</v>
      </c>
      <c r="F51" s="5">
        <v>351500</v>
      </c>
      <c r="G51" s="4">
        <f>IFERROR(D51/C51,"")</f>
        <v>0.75</v>
      </c>
      <c r="H51" s="4">
        <f>IFERROR(F51/E51,"")</f>
        <v>0.75694765970734224</v>
      </c>
    </row>
    <row r="52" spans="1:8" ht="20" customHeight="1" x14ac:dyDescent="0.45">
      <c r="A52" s="2" t="s">
        <v>17</v>
      </c>
      <c r="B52" s="2" t="s">
        <v>38</v>
      </c>
      <c r="C52" s="6">
        <v>0</v>
      </c>
      <c r="D52" s="6">
        <v>0</v>
      </c>
      <c r="E52" s="5">
        <v>0</v>
      </c>
      <c r="F52" s="5">
        <v>0</v>
      </c>
      <c r="G52" s="4" t="str">
        <f>IFERROR(D52/C52,"")</f>
        <v/>
      </c>
      <c r="H52" s="4" t="str">
        <f>IFERROR(F52/E52,"")</f>
        <v/>
      </c>
    </row>
    <row r="53" spans="1:8" ht="20" customHeight="1" x14ac:dyDescent="0.45">
      <c r="A53" s="2" t="s">
        <v>17</v>
      </c>
      <c r="B53" s="2" t="s">
        <v>39</v>
      </c>
      <c r="C53" s="6">
        <v>4</v>
      </c>
      <c r="D53" s="6">
        <v>2</v>
      </c>
      <c r="E53" s="5">
        <v>356730</v>
      </c>
      <c r="F53" s="5">
        <v>84690</v>
      </c>
      <c r="G53" s="4">
        <f>IFERROR(D53/C53,"")</f>
        <v>0.5</v>
      </c>
      <c r="H53" s="4">
        <f>IFERROR(F53/E53,"")</f>
        <v>0.23740644184677487</v>
      </c>
    </row>
    <row r="54" spans="1:8" ht="20" customHeight="1" x14ac:dyDescent="0.45">
      <c r="A54" s="2" t="s">
        <v>17</v>
      </c>
      <c r="B54" s="2" t="s">
        <v>40</v>
      </c>
      <c r="C54" s="6">
        <v>0</v>
      </c>
      <c r="D54" s="6">
        <v>0</v>
      </c>
      <c r="E54" s="5">
        <v>0</v>
      </c>
      <c r="F54" s="5">
        <v>0</v>
      </c>
      <c r="G54" s="4" t="str">
        <f>IFERROR(D54/C54,"")</f>
        <v/>
      </c>
      <c r="H54" s="4" t="str">
        <f>IFERROR(F54/E54,"")</f>
        <v/>
      </c>
    </row>
    <row r="55" spans="1:8" ht="20" customHeight="1" x14ac:dyDescent="0.45">
      <c r="A55" s="2" t="s">
        <v>17</v>
      </c>
      <c r="B55" s="2" t="s">
        <v>41</v>
      </c>
      <c r="C55" s="6">
        <v>0</v>
      </c>
      <c r="D55" s="6">
        <v>0</v>
      </c>
      <c r="E55" s="5">
        <v>0</v>
      </c>
      <c r="F55" s="5">
        <v>0</v>
      </c>
      <c r="G55" s="4" t="str">
        <f>IFERROR(D55/C55,"")</f>
        <v/>
      </c>
      <c r="H55" s="4" t="str">
        <f>IFERROR(F55/E55,"")</f>
        <v/>
      </c>
    </row>
    <row r="56" spans="1:8" ht="20" customHeight="1" x14ac:dyDescent="0.45">
      <c r="A56" s="7" t="s">
        <v>17</v>
      </c>
      <c r="B56" s="7" t="s">
        <v>42</v>
      </c>
      <c r="C56" s="8">
        <v>27</v>
      </c>
      <c r="D56" s="8">
        <v>17</v>
      </c>
      <c r="E56" s="9">
        <v>3414631.5</v>
      </c>
      <c r="F56" s="9">
        <v>1981261.75</v>
      </c>
      <c r="G56" s="10">
        <f>IFERROR(D56/C56,"")</f>
        <v>0.62962962962962965</v>
      </c>
      <c r="H56" s="10">
        <f>IFERROR(F56/E56,"")</f>
        <v>0.58022710503314923</v>
      </c>
    </row>
    <row r="57" spans="1:8" ht="20" customHeight="1" x14ac:dyDescent="0.45">
      <c r="A57" s="2" t="s">
        <v>18</v>
      </c>
      <c r="B57" s="2" t="s">
        <v>32</v>
      </c>
      <c r="C57" s="6">
        <v>5</v>
      </c>
      <c r="D57" s="6">
        <v>2</v>
      </c>
      <c r="E57" s="5">
        <v>390286</v>
      </c>
      <c r="F57" s="5">
        <v>151933.28</v>
      </c>
      <c r="G57" s="4">
        <f>IFERROR(D57/C57,"")</f>
        <v>0.4</v>
      </c>
      <c r="H57" s="4">
        <f>IFERROR(F57/E57,"")</f>
        <v>0.38928703566102807</v>
      </c>
    </row>
    <row r="58" spans="1:8" ht="20" customHeight="1" x14ac:dyDescent="0.45">
      <c r="A58" s="2" t="s">
        <v>18</v>
      </c>
      <c r="B58" s="2" t="s">
        <v>33</v>
      </c>
      <c r="C58" s="6">
        <v>7</v>
      </c>
      <c r="D58" s="6">
        <v>0</v>
      </c>
      <c r="E58" s="5">
        <v>306830</v>
      </c>
      <c r="F58" s="5">
        <v>0</v>
      </c>
      <c r="G58" s="4">
        <f>IFERROR(D58/C58,"")</f>
        <v>0</v>
      </c>
      <c r="H58" s="4">
        <f>IFERROR(F58/E58,"")</f>
        <v>0</v>
      </c>
    </row>
    <row r="59" spans="1:8" ht="20" customHeight="1" x14ac:dyDescent="0.45">
      <c r="A59" s="2" t="s">
        <v>18</v>
      </c>
      <c r="B59" s="2" t="s">
        <v>34</v>
      </c>
      <c r="C59" s="6">
        <v>0</v>
      </c>
      <c r="D59" s="6">
        <v>0</v>
      </c>
      <c r="E59" s="5">
        <v>0</v>
      </c>
      <c r="F59" s="5">
        <v>0</v>
      </c>
      <c r="G59" s="4" t="str">
        <f>IFERROR(D59/C59,"")</f>
        <v/>
      </c>
      <c r="H59" s="4" t="str">
        <f>IFERROR(F59/E59,"")</f>
        <v/>
      </c>
    </row>
    <row r="60" spans="1:8" ht="20" customHeight="1" x14ac:dyDescent="0.45">
      <c r="A60" s="2" t="s">
        <v>18</v>
      </c>
      <c r="B60" s="2" t="s">
        <v>35</v>
      </c>
      <c r="C60" s="6">
        <v>1</v>
      </c>
      <c r="D60" s="6">
        <v>0</v>
      </c>
      <c r="E60" s="5">
        <v>196925.18</v>
      </c>
      <c r="F60" s="5">
        <v>0</v>
      </c>
      <c r="G60" s="4">
        <f>IFERROR(D60/C60,"")</f>
        <v>0</v>
      </c>
      <c r="H60" s="4">
        <f>IFERROR(F60/E60,"")</f>
        <v>0</v>
      </c>
    </row>
    <row r="61" spans="1:8" ht="20" customHeight="1" x14ac:dyDescent="0.45">
      <c r="A61" s="2" t="s">
        <v>18</v>
      </c>
      <c r="B61" s="2" t="s">
        <v>36</v>
      </c>
      <c r="C61" s="6">
        <v>0</v>
      </c>
      <c r="D61" s="6">
        <v>0</v>
      </c>
      <c r="E61" s="5">
        <v>0</v>
      </c>
      <c r="F61" s="5">
        <v>0</v>
      </c>
      <c r="G61" s="4" t="str">
        <f>IFERROR(D61/C61,"")</f>
        <v/>
      </c>
      <c r="H61" s="4" t="str">
        <f>IFERROR(F61/E61,"")</f>
        <v/>
      </c>
    </row>
    <row r="62" spans="1:8" ht="20" customHeight="1" x14ac:dyDescent="0.45">
      <c r="A62" s="2" t="s">
        <v>18</v>
      </c>
      <c r="B62" s="2" t="s">
        <v>37</v>
      </c>
      <c r="C62" s="6">
        <v>3</v>
      </c>
      <c r="D62" s="6">
        <v>0</v>
      </c>
      <c r="E62" s="5">
        <v>76910</v>
      </c>
      <c r="F62" s="5">
        <v>0</v>
      </c>
      <c r="G62" s="4">
        <f>IFERROR(D62/C62,"")</f>
        <v>0</v>
      </c>
      <c r="H62" s="4">
        <f>IFERROR(F62/E62,"")</f>
        <v>0</v>
      </c>
    </row>
    <row r="63" spans="1:8" ht="20" customHeight="1" x14ac:dyDescent="0.45">
      <c r="A63" s="2" t="s">
        <v>18</v>
      </c>
      <c r="B63" s="2" t="s">
        <v>38</v>
      </c>
      <c r="C63" s="6">
        <v>3</v>
      </c>
      <c r="D63" s="6">
        <v>1</v>
      </c>
      <c r="E63" s="5">
        <v>134394.35</v>
      </c>
      <c r="F63" s="5">
        <v>51395</v>
      </c>
      <c r="G63" s="4">
        <f>IFERROR(D63/C63,"")</f>
        <v>0.33333333333333331</v>
      </c>
      <c r="H63" s="4">
        <f>IFERROR(F63/E63,"")</f>
        <v>0.38241935021821971</v>
      </c>
    </row>
    <row r="64" spans="1:8" ht="20" customHeight="1" x14ac:dyDescent="0.45">
      <c r="A64" s="2" t="s">
        <v>18</v>
      </c>
      <c r="B64" s="2" t="s">
        <v>39</v>
      </c>
      <c r="C64" s="6">
        <v>3</v>
      </c>
      <c r="D64" s="6">
        <v>1</v>
      </c>
      <c r="E64" s="5">
        <v>169280</v>
      </c>
      <c r="F64" s="5">
        <v>129740</v>
      </c>
      <c r="G64" s="4">
        <f>IFERROR(D64/C64,"")</f>
        <v>0.33333333333333331</v>
      </c>
      <c r="H64" s="4">
        <f>IFERROR(F64/E64,"")</f>
        <v>0.76642249527410211</v>
      </c>
    </row>
    <row r="65" spans="1:8" ht="20" customHeight="1" x14ac:dyDescent="0.45">
      <c r="A65" s="2" t="s">
        <v>18</v>
      </c>
      <c r="B65" s="2" t="s">
        <v>40</v>
      </c>
      <c r="C65" s="6">
        <v>0</v>
      </c>
      <c r="D65" s="6">
        <v>0</v>
      </c>
      <c r="E65" s="5">
        <v>0</v>
      </c>
      <c r="F65" s="5">
        <v>0</v>
      </c>
      <c r="G65" s="4" t="str">
        <f>IFERROR(D65/C65,"")</f>
        <v/>
      </c>
      <c r="H65" s="4" t="str">
        <f>IFERROR(F65/E65,"")</f>
        <v/>
      </c>
    </row>
    <row r="66" spans="1:8" ht="20" customHeight="1" x14ac:dyDescent="0.45">
      <c r="A66" s="2" t="s">
        <v>18</v>
      </c>
      <c r="B66" s="2" t="s">
        <v>41</v>
      </c>
      <c r="C66" s="6">
        <v>0</v>
      </c>
      <c r="D66" s="6">
        <v>0</v>
      </c>
      <c r="E66" s="5">
        <v>0</v>
      </c>
      <c r="F66" s="5">
        <v>0</v>
      </c>
      <c r="G66" s="4" t="str">
        <f>IFERROR(D66/C66,"")</f>
        <v/>
      </c>
      <c r="H66" s="4" t="str">
        <f>IFERROR(F66/E66,"")</f>
        <v/>
      </c>
    </row>
    <row r="67" spans="1:8" ht="20" customHeight="1" x14ac:dyDescent="0.45">
      <c r="A67" s="7" t="s">
        <v>18</v>
      </c>
      <c r="B67" s="7" t="s">
        <v>42</v>
      </c>
      <c r="C67" s="8">
        <v>22</v>
      </c>
      <c r="D67" s="8">
        <v>4</v>
      </c>
      <c r="E67" s="9">
        <v>1274625.53</v>
      </c>
      <c r="F67" s="9">
        <v>333068.28000000003</v>
      </c>
      <c r="G67" s="10">
        <f>IFERROR(D67/C67,"")</f>
        <v>0.18181818181818182</v>
      </c>
      <c r="H67" s="10">
        <f>IFERROR(F67/E67,"")</f>
        <v>0.26130676984008006</v>
      </c>
    </row>
    <row r="68" spans="1:8" ht="20" customHeight="1" x14ac:dyDescent="0.45">
      <c r="A68" s="2" t="s">
        <v>19</v>
      </c>
      <c r="B68" s="2" t="s">
        <v>32</v>
      </c>
      <c r="C68" s="6">
        <v>10</v>
      </c>
      <c r="D68" s="6">
        <v>5</v>
      </c>
      <c r="E68" s="5">
        <v>891755.6</v>
      </c>
      <c r="F68" s="5">
        <v>521691</v>
      </c>
      <c r="G68" s="4">
        <f>IFERROR(D68/C68,"")</f>
        <v>0.5</v>
      </c>
      <c r="H68" s="4">
        <f>IFERROR(F68/E68,"")</f>
        <v>0.58501567021278034</v>
      </c>
    </row>
    <row r="69" spans="1:8" ht="20" customHeight="1" x14ac:dyDescent="0.45">
      <c r="A69" s="2" t="s">
        <v>19</v>
      </c>
      <c r="B69" s="2" t="s">
        <v>33</v>
      </c>
      <c r="C69" s="6">
        <v>6</v>
      </c>
      <c r="D69" s="6">
        <v>2</v>
      </c>
      <c r="E69" s="5">
        <v>424292.25</v>
      </c>
      <c r="F69" s="5">
        <v>200525</v>
      </c>
      <c r="G69" s="4">
        <f>IFERROR(D69/C69,"")</f>
        <v>0.33333333333333331</v>
      </c>
      <c r="H69" s="4">
        <f>IFERROR(F69/E69,"")</f>
        <v>0.47261056500560639</v>
      </c>
    </row>
    <row r="70" spans="1:8" ht="20" customHeight="1" x14ac:dyDescent="0.45">
      <c r="A70" s="2" t="s">
        <v>19</v>
      </c>
      <c r="B70" s="2" t="s">
        <v>34</v>
      </c>
      <c r="C70" s="6">
        <v>0</v>
      </c>
      <c r="D70" s="6">
        <v>0</v>
      </c>
      <c r="E70" s="5">
        <v>0</v>
      </c>
      <c r="F70" s="5">
        <v>0</v>
      </c>
      <c r="G70" s="4" t="str">
        <f>IFERROR(D70/C70,"")</f>
        <v/>
      </c>
      <c r="H70" s="4" t="str">
        <f>IFERROR(F70/E70,"")</f>
        <v/>
      </c>
    </row>
    <row r="71" spans="1:8" ht="20" customHeight="1" x14ac:dyDescent="0.45">
      <c r="A71" s="2" t="s">
        <v>19</v>
      </c>
      <c r="B71" s="2" t="s">
        <v>35</v>
      </c>
      <c r="C71" s="6">
        <v>1</v>
      </c>
      <c r="D71" s="6">
        <v>1</v>
      </c>
      <c r="E71" s="5">
        <v>79180</v>
      </c>
      <c r="F71" s="5">
        <v>94820</v>
      </c>
      <c r="G71" s="4">
        <f>IFERROR(D71/C71,"")</f>
        <v>1</v>
      </c>
      <c r="H71" s="4">
        <f>IFERROR(F71/E71,"")</f>
        <v>1.1975246274311695</v>
      </c>
    </row>
    <row r="72" spans="1:8" ht="20" customHeight="1" x14ac:dyDescent="0.45">
      <c r="A72" s="2" t="s">
        <v>19</v>
      </c>
      <c r="B72" s="2" t="s">
        <v>36</v>
      </c>
      <c r="C72" s="6">
        <v>0</v>
      </c>
      <c r="D72" s="6">
        <v>0</v>
      </c>
      <c r="E72" s="5">
        <v>0</v>
      </c>
      <c r="F72" s="5">
        <v>0</v>
      </c>
      <c r="G72" s="4" t="str">
        <f>IFERROR(D72/C72,"")</f>
        <v/>
      </c>
      <c r="H72" s="4" t="str">
        <f>IFERROR(F72/E72,"")</f>
        <v/>
      </c>
    </row>
    <row r="73" spans="1:8" ht="20" customHeight="1" x14ac:dyDescent="0.45">
      <c r="A73" s="2" t="s">
        <v>19</v>
      </c>
      <c r="B73" s="2" t="s">
        <v>37</v>
      </c>
      <c r="C73" s="6">
        <v>4</v>
      </c>
      <c r="D73" s="6">
        <v>1</v>
      </c>
      <c r="E73" s="5">
        <v>320660</v>
      </c>
      <c r="F73" s="5">
        <v>30800</v>
      </c>
      <c r="G73" s="4">
        <f>IFERROR(D73/C73,"")</f>
        <v>0.25</v>
      </c>
      <c r="H73" s="4">
        <f>IFERROR(F73/E73,"")</f>
        <v>9.6051892970747829E-2</v>
      </c>
    </row>
    <row r="74" spans="1:8" ht="20" customHeight="1" x14ac:dyDescent="0.45">
      <c r="A74" s="2" t="s">
        <v>19</v>
      </c>
      <c r="B74" s="2" t="s">
        <v>38</v>
      </c>
      <c r="C74" s="6">
        <v>2</v>
      </c>
      <c r="D74" s="6">
        <v>0</v>
      </c>
      <c r="E74" s="5">
        <v>33685</v>
      </c>
      <c r="F74" s="5">
        <v>0</v>
      </c>
      <c r="G74" s="4">
        <f>IFERROR(D74/C74,"")</f>
        <v>0</v>
      </c>
      <c r="H74" s="4">
        <f>IFERROR(F74/E74,"")</f>
        <v>0</v>
      </c>
    </row>
    <row r="75" spans="1:8" ht="20" customHeight="1" x14ac:dyDescent="0.45">
      <c r="A75" s="2" t="s">
        <v>19</v>
      </c>
      <c r="B75" s="2" t="s">
        <v>39</v>
      </c>
      <c r="C75" s="6">
        <v>8</v>
      </c>
      <c r="D75" s="6">
        <v>5</v>
      </c>
      <c r="E75" s="5">
        <v>876410</v>
      </c>
      <c r="F75" s="5">
        <v>542575</v>
      </c>
      <c r="G75" s="4">
        <f>IFERROR(D75/C75,"")</f>
        <v>0.625</v>
      </c>
      <c r="H75" s="4">
        <f>IFERROR(F75/E75,"")</f>
        <v>0.61908809803630716</v>
      </c>
    </row>
    <row r="76" spans="1:8" ht="20" customHeight="1" x14ac:dyDescent="0.45">
      <c r="A76" s="2" t="s">
        <v>19</v>
      </c>
      <c r="B76" s="2" t="s">
        <v>40</v>
      </c>
      <c r="C76" s="6">
        <v>0</v>
      </c>
      <c r="D76" s="6">
        <v>0</v>
      </c>
      <c r="E76" s="5">
        <v>0</v>
      </c>
      <c r="F76" s="5">
        <v>0</v>
      </c>
      <c r="G76" s="4" t="str">
        <f>IFERROR(D76/C76,"")</f>
        <v/>
      </c>
      <c r="H76" s="4" t="str">
        <f>IFERROR(F76/E76,"")</f>
        <v/>
      </c>
    </row>
    <row r="77" spans="1:8" ht="20" customHeight="1" x14ac:dyDescent="0.45">
      <c r="A77" s="2" t="s">
        <v>19</v>
      </c>
      <c r="B77" s="2" t="s">
        <v>41</v>
      </c>
      <c r="C77" s="6">
        <v>0</v>
      </c>
      <c r="D77" s="6">
        <v>0</v>
      </c>
      <c r="E77" s="5">
        <v>0</v>
      </c>
      <c r="F77" s="5">
        <v>0</v>
      </c>
      <c r="G77" s="4" t="str">
        <f>IFERROR(D77/C77,"")</f>
        <v/>
      </c>
      <c r="H77" s="4" t="str">
        <f>IFERROR(F77/E77,"")</f>
        <v/>
      </c>
    </row>
    <row r="78" spans="1:8" ht="20" customHeight="1" x14ac:dyDescent="0.45">
      <c r="A78" s="7" t="s">
        <v>19</v>
      </c>
      <c r="B78" s="7" t="s">
        <v>42</v>
      </c>
      <c r="C78" s="8">
        <v>31</v>
      </c>
      <c r="D78" s="8">
        <v>14</v>
      </c>
      <c r="E78" s="9">
        <v>2625982.85</v>
      </c>
      <c r="F78" s="9">
        <v>1390411</v>
      </c>
      <c r="G78" s="10">
        <f>IFERROR(D78/C78,"")</f>
        <v>0.45161290322580644</v>
      </c>
      <c r="H78" s="10">
        <f>IFERROR(F78/E78,"")</f>
        <v>0.52948213275650291</v>
      </c>
    </row>
    <row r="79" spans="1:8" ht="20" customHeight="1" x14ac:dyDescent="0.45">
      <c r="A79" s="2" t="s">
        <v>20</v>
      </c>
      <c r="B79" s="2" t="s">
        <v>32</v>
      </c>
      <c r="C79" s="6">
        <v>5</v>
      </c>
      <c r="D79" s="6">
        <v>3</v>
      </c>
      <c r="E79" s="5">
        <v>649000</v>
      </c>
      <c r="F79" s="5">
        <v>309900</v>
      </c>
      <c r="G79" s="4">
        <f>IFERROR(D79/C79,"")</f>
        <v>0.6</v>
      </c>
      <c r="H79" s="4">
        <f>IFERROR(F79/E79,"")</f>
        <v>0.47750385208012325</v>
      </c>
    </row>
    <row r="80" spans="1:8" ht="20" customHeight="1" x14ac:dyDescent="0.45">
      <c r="A80" s="2" t="s">
        <v>20</v>
      </c>
      <c r="B80" s="2" t="s">
        <v>33</v>
      </c>
      <c r="C80" s="6">
        <v>5</v>
      </c>
      <c r="D80" s="6">
        <v>3</v>
      </c>
      <c r="E80" s="5">
        <v>303433.7</v>
      </c>
      <c r="F80" s="5">
        <v>164058.88</v>
      </c>
      <c r="G80" s="4">
        <f>IFERROR(D80/C80,"")</f>
        <v>0.6</v>
      </c>
      <c r="H80" s="4">
        <f>IFERROR(F80/E80,"")</f>
        <v>0.54067455262879505</v>
      </c>
    </row>
    <row r="81" spans="1:8" ht="20" customHeight="1" x14ac:dyDescent="0.45">
      <c r="A81" s="2" t="s">
        <v>20</v>
      </c>
      <c r="B81" s="2" t="s">
        <v>34</v>
      </c>
      <c r="C81" s="6">
        <v>0</v>
      </c>
      <c r="D81" s="6">
        <v>0</v>
      </c>
      <c r="E81" s="5">
        <v>0</v>
      </c>
      <c r="F81" s="5">
        <v>0</v>
      </c>
      <c r="G81" s="4" t="str">
        <f>IFERROR(D81/C81,"")</f>
        <v/>
      </c>
      <c r="H81" s="4" t="str">
        <f>IFERROR(F81/E81,"")</f>
        <v/>
      </c>
    </row>
    <row r="82" spans="1:8" ht="20" customHeight="1" x14ac:dyDescent="0.45">
      <c r="A82" s="2" t="s">
        <v>20</v>
      </c>
      <c r="B82" s="2" t="s">
        <v>35</v>
      </c>
      <c r="C82" s="6">
        <v>0</v>
      </c>
      <c r="D82" s="6">
        <v>0</v>
      </c>
      <c r="E82" s="5">
        <v>0</v>
      </c>
      <c r="F82" s="5">
        <v>0</v>
      </c>
      <c r="G82" s="4" t="str">
        <f>IFERROR(D82/C82,"")</f>
        <v/>
      </c>
      <c r="H82" s="4" t="str">
        <f>IFERROR(F82/E82,"")</f>
        <v/>
      </c>
    </row>
    <row r="83" spans="1:8" ht="20" customHeight="1" x14ac:dyDescent="0.45">
      <c r="A83" s="2" t="s">
        <v>20</v>
      </c>
      <c r="B83" s="2" t="s">
        <v>36</v>
      </c>
      <c r="C83" s="6">
        <v>0</v>
      </c>
      <c r="D83" s="6">
        <v>0</v>
      </c>
      <c r="E83" s="5">
        <v>0</v>
      </c>
      <c r="F83" s="5">
        <v>0</v>
      </c>
      <c r="G83" s="4" t="str">
        <f>IFERROR(D83/C83,"")</f>
        <v/>
      </c>
      <c r="H83" s="4" t="str">
        <f>IFERROR(F83/E83,"")</f>
        <v/>
      </c>
    </row>
    <row r="84" spans="1:8" ht="20" customHeight="1" x14ac:dyDescent="0.45">
      <c r="A84" s="2" t="s">
        <v>20</v>
      </c>
      <c r="B84" s="2" t="s">
        <v>37</v>
      </c>
      <c r="C84" s="6">
        <v>4</v>
      </c>
      <c r="D84" s="6">
        <v>2</v>
      </c>
      <c r="E84" s="5">
        <v>225280</v>
      </c>
      <c r="F84" s="5">
        <v>108120</v>
      </c>
      <c r="G84" s="4">
        <f>IFERROR(D84/C84,"")</f>
        <v>0.5</v>
      </c>
      <c r="H84" s="4">
        <f>IFERROR(F84/E84,"")</f>
        <v>0.47993607954545453</v>
      </c>
    </row>
    <row r="85" spans="1:8" ht="20" customHeight="1" x14ac:dyDescent="0.45">
      <c r="A85" s="2" t="s">
        <v>20</v>
      </c>
      <c r="B85" s="2" t="s">
        <v>38</v>
      </c>
      <c r="C85" s="6">
        <v>4</v>
      </c>
      <c r="D85" s="6">
        <v>2</v>
      </c>
      <c r="E85" s="5">
        <v>292340</v>
      </c>
      <c r="F85" s="5">
        <v>108905</v>
      </c>
      <c r="G85" s="4">
        <f>IFERROR(D85/C85,"")</f>
        <v>0.5</v>
      </c>
      <c r="H85" s="4">
        <f>IFERROR(F85/E85,"")</f>
        <v>0.37252856263255113</v>
      </c>
    </row>
    <row r="86" spans="1:8" ht="20" customHeight="1" x14ac:dyDescent="0.45">
      <c r="A86" s="2" t="s">
        <v>20</v>
      </c>
      <c r="B86" s="2" t="s">
        <v>39</v>
      </c>
      <c r="C86" s="6">
        <v>4</v>
      </c>
      <c r="D86" s="6">
        <v>2</v>
      </c>
      <c r="E86" s="5">
        <v>466862.13</v>
      </c>
      <c r="F86" s="5">
        <v>252695</v>
      </c>
      <c r="G86" s="4">
        <f>IFERROR(D86/C86,"")</f>
        <v>0.5</v>
      </c>
      <c r="H86" s="4">
        <f>IFERROR(F86/E86,"")</f>
        <v>0.54126257788353915</v>
      </c>
    </row>
    <row r="87" spans="1:8" ht="20" customHeight="1" x14ac:dyDescent="0.45">
      <c r="A87" s="2" t="s">
        <v>20</v>
      </c>
      <c r="B87" s="2" t="s">
        <v>40</v>
      </c>
      <c r="C87" s="6">
        <v>0</v>
      </c>
      <c r="D87" s="6">
        <v>0</v>
      </c>
      <c r="E87" s="5">
        <v>0</v>
      </c>
      <c r="F87" s="5">
        <v>0</v>
      </c>
      <c r="G87" s="4" t="str">
        <f>IFERROR(D87/C87,"")</f>
        <v/>
      </c>
      <c r="H87" s="4" t="str">
        <f>IFERROR(F87/E87,"")</f>
        <v/>
      </c>
    </row>
    <row r="88" spans="1:8" ht="20" customHeight="1" x14ac:dyDescent="0.45">
      <c r="A88" s="2" t="s">
        <v>20</v>
      </c>
      <c r="B88" s="2" t="s">
        <v>41</v>
      </c>
      <c r="C88" s="6">
        <v>1</v>
      </c>
      <c r="D88" s="6">
        <v>0</v>
      </c>
      <c r="E88" s="5">
        <v>0</v>
      </c>
      <c r="F88" s="5">
        <v>0</v>
      </c>
      <c r="G88" s="4">
        <f>IFERROR(D88/C88,"")</f>
        <v>0</v>
      </c>
      <c r="H88" s="4" t="str">
        <f>IFERROR(F88/E88,"")</f>
        <v/>
      </c>
    </row>
    <row r="89" spans="1:8" ht="20" customHeight="1" x14ac:dyDescent="0.45">
      <c r="A89" s="7" t="s">
        <v>20</v>
      </c>
      <c r="B89" s="7" t="s">
        <v>42</v>
      </c>
      <c r="C89" s="8">
        <v>23</v>
      </c>
      <c r="D89" s="8">
        <v>12</v>
      </c>
      <c r="E89" s="9">
        <v>1936915.83</v>
      </c>
      <c r="F89" s="9">
        <v>943678.88</v>
      </c>
      <c r="G89" s="10">
        <f>IFERROR(D89/C89,"")</f>
        <v>0.52173913043478259</v>
      </c>
      <c r="H89" s="10">
        <f>IFERROR(F89/E89,"")</f>
        <v>0.48720696345385334</v>
      </c>
    </row>
    <row r="90" spans="1:8" ht="20" customHeight="1" x14ac:dyDescent="0.45">
      <c r="A90" s="2" t="s">
        <v>21</v>
      </c>
      <c r="B90" s="2" t="s">
        <v>32</v>
      </c>
      <c r="C90" s="6">
        <v>8</v>
      </c>
      <c r="D90" s="6">
        <v>3</v>
      </c>
      <c r="E90" s="5">
        <v>1361540.74</v>
      </c>
      <c r="F90" s="5">
        <v>234774</v>
      </c>
      <c r="G90" s="4">
        <f>IFERROR(D90/C90,"")</f>
        <v>0.375</v>
      </c>
      <c r="H90" s="4">
        <f>IFERROR(F90/E90,"")</f>
        <v>0.172432592799243</v>
      </c>
    </row>
    <row r="91" spans="1:8" ht="20" customHeight="1" x14ac:dyDescent="0.45">
      <c r="A91" s="2" t="s">
        <v>21</v>
      </c>
      <c r="B91" s="2" t="s">
        <v>33</v>
      </c>
      <c r="C91" s="6">
        <v>3</v>
      </c>
      <c r="D91" s="6">
        <v>2</v>
      </c>
      <c r="E91" s="5">
        <v>206740</v>
      </c>
      <c r="F91" s="5">
        <v>206440</v>
      </c>
      <c r="G91" s="4">
        <f>IFERROR(D91/C91,"")</f>
        <v>0.66666666666666663</v>
      </c>
      <c r="H91" s="4">
        <f>IFERROR(F91/E91,"")</f>
        <v>0.99854890200251523</v>
      </c>
    </row>
    <row r="92" spans="1:8" ht="20" customHeight="1" x14ac:dyDescent="0.45">
      <c r="A92" s="2" t="s">
        <v>21</v>
      </c>
      <c r="B92" s="2" t="s">
        <v>34</v>
      </c>
      <c r="C92" s="6">
        <v>0</v>
      </c>
      <c r="D92" s="6">
        <v>0</v>
      </c>
      <c r="E92" s="5">
        <v>0</v>
      </c>
      <c r="F92" s="5">
        <v>0</v>
      </c>
      <c r="G92" s="4" t="str">
        <f>IFERROR(D92/C92,"")</f>
        <v/>
      </c>
      <c r="H92" s="4" t="str">
        <f>IFERROR(F92/E92,"")</f>
        <v/>
      </c>
    </row>
    <row r="93" spans="1:8" ht="20" customHeight="1" x14ac:dyDescent="0.45">
      <c r="A93" s="2" t="s">
        <v>21</v>
      </c>
      <c r="B93" s="2" t="s">
        <v>35</v>
      </c>
      <c r="C93" s="6">
        <v>1</v>
      </c>
      <c r="D93" s="6">
        <v>0</v>
      </c>
      <c r="E93" s="5">
        <v>333853.75</v>
      </c>
      <c r="F93" s="5">
        <v>0</v>
      </c>
      <c r="G93" s="4">
        <f>IFERROR(D93/C93,"")</f>
        <v>0</v>
      </c>
      <c r="H93" s="4">
        <f>IFERROR(F93/E93,"")</f>
        <v>0</v>
      </c>
    </row>
    <row r="94" spans="1:8" ht="20" customHeight="1" x14ac:dyDescent="0.45">
      <c r="A94" s="2" t="s">
        <v>21</v>
      </c>
      <c r="B94" s="2" t="s">
        <v>36</v>
      </c>
      <c r="C94" s="6">
        <v>0</v>
      </c>
      <c r="D94" s="6">
        <v>0</v>
      </c>
      <c r="E94" s="5">
        <v>0</v>
      </c>
      <c r="F94" s="5">
        <v>0</v>
      </c>
      <c r="G94" s="4" t="str">
        <f>IFERROR(D94/C94,"")</f>
        <v/>
      </c>
      <c r="H94" s="4" t="str">
        <f>IFERROR(F94/E94,"")</f>
        <v/>
      </c>
    </row>
    <row r="95" spans="1:8" ht="20" customHeight="1" x14ac:dyDescent="0.45">
      <c r="A95" s="2" t="s">
        <v>21</v>
      </c>
      <c r="B95" s="2" t="s">
        <v>37</v>
      </c>
      <c r="C95" s="6">
        <v>4</v>
      </c>
      <c r="D95" s="6">
        <v>1</v>
      </c>
      <c r="E95" s="5">
        <v>491095</v>
      </c>
      <c r="F95" s="5">
        <v>223145</v>
      </c>
      <c r="G95" s="4">
        <f>IFERROR(D95/C95,"")</f>
        <v>0.25</v>
      </c>
      <c r="H95" s="4">
        <f>IFERROR(F95/E95,"")</f>
        <v>0.4543825532738065</v>
      </c>
    </row>
    <row r="96" spans="1:8" ht="20" customHeight="1" x14ac:dyDescent="0.45">
      <c r="A96" s="2" t="s">
        <v>21</v>
      </c>
      <c r="B96" s="2" t="s">
        <v>38</v>
      </c>
      <c r="C96" s="6">
        <v>4</v>
      </c>
      <c r="D96" s="6">
        <v>3</v>
      </c>
      <c r="E96" s="5">
        <v>365378.54</v>
      </c>
      <c r="F96" s="5">
        <v>279686.45</v>
      </c>
      <c r="G96" s="4">
        <f>IFERROR(D96/C96,"")</f>
        <v>0.75</v>
      </c>
      <c r="H96" s="4">
        <f>IFERROR(F96/E96,"")</f>
        <v>0.76547038038960913</v>
      </c>
    </row>
    <row r="97" spans="1:8" ht="20" customHeight="1" x14ac:dyDescent="0.45">
      <c r="A97" s="2" t="s">
        <v>21</v>
      </c>
      <c r="B97" s="2" t="s">
        <v>39</v>
      </c>
      <c r="C97" s="6">
        <v>6</v>
      </c>
      <c r="D97" s="6">
        <v>1</v>
      </c>
      <c r="E97" s="5">
        <v>483370.47</v>
      </c>
      <c r="F97" s="5">
        <v>142458.97</v>
      </c>
      <c r="G97" s="4">
        <f>IFERROR(D97/C97,"")</f>
        <v>0.16666666666666666</v>
      </c>
      <c r="H97" s="4">
        <f>IFERROR(F97/E97,"")</f>
        <v>0.29472005188897865</v>
      </c>
    </row>
    <row r="98" spans="1:8" ht="20" customHeight="1" x14ac:dyDescent="0.45">
      <c r="A98" s="2" t="s">
        <v>21</v>
      </c>
      <c r="B98" s="2" t="s">
        <v>40</v>
      </c>
      <c r="C98" s="6">
        <v>0</v>
      </c>
      <c r="D98" s="6">
        <v>0</v>
      </c>
      <c r="E98" s="5">
        <v>0</v>
      </c>
      <c r="F98" s="5">
        <v>0</v>
      </c>
      <c r="G98" s="4" t="str">
        <f>IFERROR(D98/C98,"")</f>
        <v/>
      </c>
      <c r="H98" s="4" t="str">
        <f>IFERROR(F98/E98,"")</f>
        <v/>
      </c>
    </row>
    <row r="99" spans="1:8" ht="20" customHeight="1" x14ac:dyDescent="0.45">
      <c r="A99" s="2" t="s">
        <v>21</v>
      </c>
      <c r="B99" s="2" t="s">
        <v>41</v>
      </c>
      <c r="C99" s="6">
        <v>0</v>
      </c>
      <c r="D99" s="6">
        <v>0</v>
      </c>
      <c r="E99" s="5">
        <v>0</v>
      </c>
      <c r="F99" s="5">
        <v>0</v>
      </c>
      <c r="G99" s="4" t="str">
        <f>IFERROR(D99/C99,"")</f>
        <v/>
      </c>
      <c r="H99" s="4" t="str">
        <f>IFERROR(F99/E99,"")</f>
        <v/>
      </c>
    </row>
    <row r="100" spans="1:8" ht="20" customHeight="1" x14ac:dyDescent="0.45">
      <c r="A100" s="7" t="s">
        <v>21</v>
      </c>
      <c r="B100" s="7" t="s">
        <v>42</v>
      </c>
      <c r="C100" s="8">
        <v>26</v>
      </c>
      <c r="D100" s="8">
        <v>10</v>
      </c>
      <c r="E100" s="9">
        <v>3241978.5</v>
      </c>
      <c r="F100" s="9">
        <v>1086504.42</v>
      </c>
      <c r="G100" s="10">
        <f>IFERROR(D100/C100,"")</f>
        <v>0.38461538461538464</v>
      </c>
      <c r="H100" s="10">
        <f>IFERROR(F100/E100,"")</f>
        <v>0.33513622005821442</v>
      </c>
    </row>
    <row r="101" spans="1:8" ht="20" customHeight="1" x14ac:dyDescent="0.45">
      <c r="A101" s="2" t="s">
        <v>22</v>
      </c>
      <c r="B101" s="2" t="s">
        <v>32</v>
      </c>
      <c r="C101" s="6">
        <v>6</v>
      </c>
      <c r="D101" s="6">
        <v>1</v>
      </c>
      <c r="E101" s="5">
        <v>401370</v>
      </c>
      <c r="F101" s="5">
        <v>355915</v>
      </c>
      <c r="G101" s="4">
        <f>IFERROR(D101/C101,"")</f>
        <v>0.16666666666666666</v>
      </c>
      <c r="H101" s="4">
        <f>IFERROR(F101/E101,"")</f>
        <v>0.88675037994867578</v>
      </c>
    </row>
    <row r="102" spans="1:8" ht="20" customHeight="1" x14ac:dyDescent="0.45">
      <c r="A102" s="2" t="s">
        <v>22</v>
      </c>
      <c r="B102" s="2" t="s">
        <v>33</v>
      </c>
      <c r="C102" s="6">
        <v>1</v>
      </c>
      <c r="D102" s="6">
        <v>0</v>
      </c>
      <c r="E102" s="5">
        <v>0</v>
      </c>
      <c r="F102" s="5">
        <v>0</v>
      </c>
      <c r="G102" s="4">
        <f>IFERROR(D102/C102,"")</f>
        <v>0</v>
      </c>
      <c r="H102" s="4" t="str">
        <f>IFERROR(F102/E102,"")</f>
        <v/>
      </c>
    </row>
    <row r="103" spans="1:8" ht="20" customHeight="1" x14ac:dyDescent="0.45">
      <c r="A103" s="2" t="s">
        <v>22</v>
      </c>
      <c r="B103" s="2" t="s">
        <v>34</v>
      </c>
      <c r="C103" s="6">
        <v>1</v>
      </c>
      <c r="D103" s="6">
        <v>1</v>
      </c>
      <c r="E103" s="5">
        <v>43951.06</v>
      </c>
      <c r="F103" s="5">
        <v>57510.64</v>
      </c>
      <c r="G103" s="4">
        <f>IFERROR(D103/C103,"")</f>
        <v>1</v>
      </c>
      <c r="H103" s="4">
        <f>IFERROR(F103/E103,"")</f>
        <v>1.3085154260215794</v>
      </c>
    </row>
    <row r="104" spans="1:8" ht="20" customHeight="1" x14ac:dyDescent="0.45">
      <c r="A104" s="2" t="s">
        <v>22</v>
      </c>
      <c r="B104" s="2" t="s">
        <v>35</v>
      </c>
      <c r="C104" s="6">
        <v>4</v>
      </c>
      <c r="D104" s="6">
        <v>2</v>
      </c>
      <c r="E104" s="5">
        <v>666030.75</v>
      </c>
      <c r="F104" s="5">
        <v>299100</v>
      </c>
      <c r="G104" s="4">
        <f>IFERROR(D104/C104,"")</f>
        <v>0.5</v>
      </c>
      <c r="H104" s="4">
        <f>IFERROR(F104/E104,"")</f>
        <v>0.44907836462505674</v>
      </c>
    </row>
    <row r="105" spans="1:8" ht="20" customHeight="1" x14ac:dyDescent="0.45">
      <c r="A105" s="2" t="s">
        <v>22</v>
      </c>
      <c r="B105" s="2" t="s">
        <v>36</v>
      </c>
      <c r="C105" s="6">
        <v>0</v>
      </c>
      <c r="D105" s="6">
        <v>0</v>
      </c>
      <c r="E105" s="5">
        <v>0</v>
      </c>
      <c r="F105" s="5">
        <v>0</v>
      </c>
      <c r="G105" s="4" t="str">
        <f>IFERROR(D105/C105,"")</f>
        <v/>
      </c>
      <c r="H105" s="4" t="str">
        <f>IFERROR(F105/E105,"")</f>
        <v/>
      </c>
    </row>
    <row r="106" spans="1:8" ht="20" customHeight="1" x14ac:dyDescent="0.45">
      <c r="A106" s="2" t="s">
        <v>22</v>
      </c>
      <c r="B106" s="2" t="s">
        <v>37</v>
      </c>
      <c r="C106" s="6">
        <v>10</v>
      </c>
      <c r="D106" s="6">
        <v>7</v>
      </c>
      <c r="E106" s="5">
        <v>786826.08</v>
      </c>
      <c r="F106" s="5">
        <v>624445.80000000005</v>
      </c>
      <c r="G106" s="4">
        <f>IFERROR(D106/C106,"")</f>
        <v>0.7</v>
      </c>
      <c r="H106" s="4">
        <f>IFERROR(F106/E106,"")</f>
        <v>0.79362621025474911</v>
      </c>
    </row>
    <row r="107" spans="1:8" ht="20" customHeight="1" x14ac:dyDescent="0.45">
      <c r="A107" s="2" t="s">
        <v>22</v>
      </c>
      <c r="B107" s="2" t="s">
        <v>38</v>
      </c>
      <c r="C107" s="6">
        <v>9</v>
      </c>
      <c r="D107" s="6">
        <v>3</v>
      </c>
      <c r="E107" s="5">
        <v>874730.7</v>
      </c>
      <c r="F107" s="5">
        <v>908328.75</v>
      </c>
      <c r="G107" s="4">
        <f>IFERROR(D107/C107,"")</f>
        <v>0.33333333333333331</v>
      </c>
      <c r="H107" s="4">
        <f>IFERROR(F107/E107,"")</f>
        <v>1.0384095928038195</v>
      </c>
    </row>
    <row r="108" spans="1:8" ht="20" customHeight="1" x14ac:dyDescent="0.45">
      <c r="A108" s="2" t="s">
        <v>22</v>
      </c>
      <c r="B108" s="2" t="s">
        <v>39</v>
      </c>
      <c r="C108" s="6">
        <v>10</v>
      </c>
      <c r="D108" s="6">
        <v>6</v>
      </c>
      <c r="E108" s="5">
        <v>913942.22</v>
      </c>
      <c r="F108" s="5">
        <v>769355</v>
      </c>
      <c r="G108" s="4">
        <f>IFERROR(D108/C108,"")</f>
        <v>0.6</v>
      </c>
      <c r="H108" s="4">
        <f>IFERROR(F108/E108,"")</f>
        <v>0.84179829223777414</v>
      </c>
    </row>
    <row r="109" spans="1:8" ht="20" customHeight="1" x14ac:dyDescent="0.45">
      <c r="A109" s="2" t="s">
        <v>22</v>
      </c>
      <c r="B109" s="2" t="s">
        <v>40</v>
      </c>
      <c r="C109" s="6">
        <v>0</v>
      </c>
      <c r="D109" s="6">
        <v>0</v>
      </c>
      <c r="E109" s="5">
        <v>0</v>
      </c>
      <c r="F109" s="5">
        <v>0</v>
      </c>
      <c r="G109" s="4" t="str">
        <f>IFERROR(D109/C109,"")</f>
        <v/>
      </c>
      <c r="H109" s="4" t="str">
        <f>IFERROR(F109/E109,"")</f>
        <v/>
      </c>
    </row>
    <row r="110" spans="1:8" ht="20" customHeight="1" x14ac:dyDescent="0.45">
      <c r="A110" s="2" t="s">
        <v>22</v>
      </c>
      <c r="B110" s="2" t="s">
        <v>41</v>
      </c>
      <c r="C110" s="6">
        <v>0</v>
      </c>
      <c r="D110" s="6">
        <v>0</v>
      </c>
      <c r="E110" s="5">
        <v>0</v>
      </c>
      <c r="F110" s="5">
        <v>0</v>
      </c>
      <c r="G110" s="4" t="str">
        <f>IFERROR(D110/C110,"")</f>
        <v/>
      </c>
      <c r="H110" s="4" t="str">
        <f>IFERROR(F110/E110,"")</f>
        <v/>
      </c>
    </row>
    <row r="111" spans="1:8" ht="20" customHeight="1" x14ac:dyDescent="0.45">
      <c r="A111" s="7" t="s">
        <v>22</v>
      </c>
      <c r="B111" s="7" t="s">
        <v>42</v>
      </c>
      <c r="C111" s="8">
        <v>41</v>
      </c>
      <c r="D111" s="8">
        <v>20</v>
      </c>
      <c r="E111" s="9">
        <v>3686850.81</v>
      </c>
      <c r="F111" s="9">
        <v>3014655.19</v>
      </c>
      <c r="G111" s="10">
        <f>IFERROR(D111/C111,"")</f>
        <v>0.48780487804878048</v>
      </c>
      <c r="H111" s="10">
        <f>IFERROR(F111/E111,"")</f>
        <v>0.81767756422994509</v>
      </c>
    </row>
    <row r="112" spans="1:8" ht="20" customHeight="1" x14ac:dyDescent="0.45">
      <c r="A112" s="2" t="s">
        <v>23</v>
      </c>
      <c r="B112" s="2" t="s">
        <v>32</v>
      </c>
      <c r="C112" s="6">
        <v>8</v>
      </c>
      <c r="D112" s="6">
        <v>3</v>
      </c>
      <c r="E112" s="5">
        <v>577928.5</v>
      </c>
      <c r="F112" s="5">
        <v>358894</v>
      </c>
      <c r="G112" s="4">
        <f>IFERROR(D112/C112,"")</f>
        <v>0.375</v>
      </c>
      <c r="H112" s="4">
        <f>IFERROR(F112/E112,"")</f>
        <v>0.6210006947226171</v>
      </c>
    </row>
    <row r="113" spans="1:8" ht="20" customHeight="1" x14ac:dyDescent="0.45">
      <c r="A113" s="2" t="s">
        <v>23</v>
      </c>
      <c r="B113" s="2" t="s">
        <v>33</v>
      </c>
      <c r="C113" s="6">
        <v>0</v>
      </c>
      <c r="D113" s="6">
        <v>0</v>
      </c>
      <c r="E113" s="5">
        <v>0</v>
      </c>
      <c r="F113" s="5">
        <v>0</v>
      </c>
      <c r="G113" s="4" t="str">
        <f>IFERROR(D113/C113,"")</f>
        <v/>
      </c>
      <c r="H113" s="4" t="str">
        <f>IFERROR(F113/E113,"")</f>
        <v/>
      </c>
    </row>
    <row r="114" spans="1:8" ht="20" customHeight="1" x14ac:dyDescent="0.45">
      <c r="A114" s="2" t="s">
        <v>23</v>
      </c>
      <c r="B114" s="2" t="s">
        <v>34</v>
      </c>
      <c r="C114" s="6">
        <v>3</v>
      </c>
      <c r="D114" s="6">
        <v>2</v>
      </c>
      <c r="E114" s="5">
        <v>330376.46999999997</v>
      </c>
      <c r="F114" s="5">
        <v>156480</v>
      </c>
      <c r="G114" s="4">
        <f>IFERROR(D114/C114,"")</f>
        <v>0.66666666666666663</v>
      </c>
      <c r="H114" s="4">
        <f>IFERROR(F114/E114,"")</f>
        <v>0.47364147937048912</v>
      </c>
    </row>
    <row r="115" spans="1:8" ht="20" customHeight="1" x14ac:dyDescent="0.45">
      <c r="A115" s="2" t="s">
        <v>23</v>
      </c>
      <c r="B115" s="2" t="s">
        <v>35</v>
      </c>
      <c r="C115" s="6">
        <v>0</v>
      </c>
      <c r="D115" s="6">
        <v>0</v>
      </c>
      <c r="E115" s="5">
        <v>0</v>
      </c>
      <c r="F115" s="5">
        <v>0</v>
      </c>
      <c r="G115" s="4" t="str">
        <f>IFERROR(D115/C115,"")</f>
        <v/>
      </c>
      <c r="H115" s="4" t="str">
        <f>IFERROR(F115/E115,"")</f>
        <v/>
      </c>
    </row>
    <row r="116" spans="1:8" ht="20" customHeight="1" x14ac:dyDescent="0.45">
      <c r="A116" s="2" t="s">
        <v>23</v>
      </c>
      <c r="B116" s="2" t="s">
        <v>36</v>
      </c>
      <c r="C116" s="6">
        <v>0</v>
      </c>
      <c r="D116" s="6">
        <v>0</v>
      </c>
      <c r="E116" s="5">
        <v>0</v>
      </c>
      <c r="F116" s="5">
        <v>0</v>
      </c>
      <c r="G116" s="4" t="str">
        <f>IFERROR(D116/C116,"")</f>
        <v/>
      </c>
      <c r="H116" s="4" t="str">
        <f>IFERROR(F116/E116,"")</f>
        <v/>
      </c>
    </row>
    <row r="117" spans="1:8" ht="20" customHeight="1" x14ac:dyDescent="0.45">
      <c r="A117" s="2" t="s">
        <v>23</v>
      </c>
      <c r="B117" s="2" t="s">
        <v>37</v>
      </c>
      <c r="C117" s="6">
        <v>0</v>
      </c>
      <c r="D117" s="6">
        <v>0</v>
      </c>
      <c r="E117" s="5">
        <v>0</v>
      </c>
      <c r="F117" s="5">
        <v>0</v>
      </c>
      <c r="G117" s="4" t="str">
        <f>IFERROR(D117/C117,"")</f>
        <v/>
      </c>
      <c r="H117" s="4" t="str">
        <f>IFERROR(F117/E117,"")</f>
        <v/>
      </c>
    </row>
    <row r="118" spans="1:8" ht="20" customHeight="1" x14ac:dyDescent="0.45">
      <c r="A118" s="2" t="s">
        <v>23</v>
      </c>
      <c r="B118" s="2" t="s">
        <v>38</v>
      </c>
      <c r="C118" s="6">
        <v>10</v>
      </c>
      <c r="D118" s="6">
        <v>4</v>
      </c>
      <c r="E118" s="5">
        <v>271490</v>
      </c>
      <c r="F118" s="5">
        <v>227030</v>
      </c>
      <c r="G118" s="4">
        <f>IFERROR(D118/C118,"")</f>
        <v>0.4</v>
      </c>
      <c r="H118" s="4">
        <f>IFERROR(F118/E118,"")</f>
        <v>0.83623706213856863</v>
      </c>
    </row>
    <row r="119" spans="1:8" ht="20" customHeight="1" x14ac:dyDescent="0.45">
      <c r="A119" s="2" t="s">
        <v>23</v>
      </c>
      <c r="B119" s="2" t="s">
        <v>39</v>
      </c>
      <c r="C119" s="6">
        <v>3</v>
      </c>
      <c r="D119" s="6">
        <v>1</v>
      </c>
      <c r="E119" s="5">
        <v>387345</v>
      </c>
      <c r="F119" s="5">
        <v>69190</v>
      </c>
      <c r="G119" s="4">
        <f>IFERROR(D119/C119,"")</f>
        <v>0.33333333333333331</v>
      </c>
      <c r="H119" s="4">
        <f>IFERROR(F119/E119,"")</f>
        <v>0.17862628922536758</v>
      </c>
    </row>
    <row r="120" spans="1:8" ht="20" customHeight="1" x14ac:dyDescent="0.45">
      <c r="A120" s="2" t="s">
        <v>23</v>
      </c>
      <c r="B120" s="2" t="s">
        <v>40</v>
      </c>
      <c r="C120" s="6">
        <v>0</v>
      </c>
      <c r="D120" s="6">
        <v>0</v>
      </c>
      <c r="E120" s="5">
        <v>0</v>
      </c>
      <c r="F120" s="5">
        <v>0</v>
      </c>
      <c r="G120" s="4" t="str">
        <f>IFERROR(D120/C120,"")</f>
        <v/>
      </c>
      <c r="H120" s="4" t="str">
        <f>IFERROR(F120/E120,"")</f>
        <v/>
      </c>
    </row>
    <row r="121" spans="1:8" ht="20" customHeight="1" x14ac:dyDescent="0.45">
      <c r="A121" s="2" t="s">
        <v>23</v>
      </c>
      <c r="B121" s="2" t="s">
        <v>41</v>
      </c>
      <c r="C121" s="6">
        <v>0</v>
      </c>
      <c r="D121" s="6">
        <v>0</v>
      </c>
      <c r="E121" s="5">
        <v>0</v>
      </c>
      <c r="F121" s="5">
        <v>0</v>
      </c>
      <c r="G121" s="4" t="str">
        <f>IFERROR(D121/C121,"")</f>
        <v/>
      </c>
      <c r="H121" s="4" t="str">
        <f>IFERROR(F121/E121,"")</f>
        <v/>
      </c>
    </row>
    <row r="122" spans="1:8" ht="20" customHeight="1" x14ac:dyDescent="0.45">
      <c r="A122" s="7" t="s">
        <v>23</v>
      </c>
      <c r="B122" s="7" t="s">
        <v>42</v>
      </c>
      <c r="C122" s="8">
        <v>24</v>
      </c>
      <c r="D122" s="8">
        <v>10</v>
      </c>
      <c r="E122" s="9">
        <v>1567139.97</v>
      </c>
      <c r="F122" s="9">
        <v>811594</v>
      </c>
      <c r="G122" s="10">
        <f>IFERROR(D122/C122,"")</f>
        <v>0.41666666666666669</v>
      </c>
      <c r="H122" s="10">
        <f>IFERROR(F122/E122,"")</f>
        <v>0.51788226676395732</v>
      </c>
    </row>
    <row r="123" spans="1:8" ht="20" customHeight="1" x14ac:dyDescent="0.45">
      <c r="A123" s="2" t="s">
        <v>24</v>
      </c>
      <c r="B123" s="2" t="s">
        <v>32</v>
      </c>
      <c r="C123" s="6">
        <v>7</v>
      </c>
      <c r="D123" s="6">
        <v>1</v>
      </c>
      <c r="E123" s="5">
        <v>169720</v>
      </c>
      <c r="F123" s="5">
        <v>55000</v>
      </c>
      <c r="G123" s="4">
        <f>IFERROR(D123/C123,"")</f>
        <v>0.14285714285714285</v>
      </c>
      <c r="H123" s="4">
        <f>IFERROR(F123/E123,"")</f>
        <v>0.32406316285646947</v>
      </c>
    </row>
    <row r="124" spans="1:8" ht="20" customHeight="1" x14ac:dyDescent="0.45">
      <c r="A124" s="2" t="s">
        <v>24</v>
      </c>
      <c r="B124" s="2" t="s">
        <v>33</v>
      </c>
      <c r="C124" s="6">
        <v>0</v>
      </c>
      <c r="D124" s="6">
        <v>0</v>
      </c>
      <c r="E124" s="5">
        <v>0</v>
      </c>
      <c r="F124" s="5">
        <v>0</v>
      </c>
      <c r="G124" s="4" t="str">
        <f>IFERROR(D124/C124,"")</f>
        <v/>
      </c>
      <c r="H124" s="4" t="str">
        <f>IFERROR(F124/E124,"")</f>
        <v/>
      </c>
    </row>
    <row r="125" spans="1:8" ht="20" customHeight="1" x14ac:dyDescent="0.45">
      <c r="A125" s="2" t="s">
        <v>24</v>
      </c>
      <c r="B125" s="2" t="s">
        <v>34</v>
      </c>
      <c r="C125" s="6">
        <v>6</v>
      </c>
      <c r="D125" s="6">
        <v>2</v>
      </c>
      <c r="E125" s="5">
        <v>488381.91</v>
      </c>
      <c r="F125" s="5">
        <v>133822.34</v>
      </c>
      <c r="G125" s="4">
        <f>IFERROR(D125/C125,"")</f>
        <v>0.33333333333333331</v>
      </c>
      <c r="H125" s="4">
        <f>IFERROR(F125/E125,"")</f>
        <v>0.27401166435505364</v>
      </c>
    </row>
    <row r="126" spans="1:8" ht="20" customHeight="1" x14ac:dyDescent="0.45">
      <c r="A126" s="2" t="s">
        <v>24</v>
      </c>
      <c r="B126" s="2" t="s">
        <v>35</v>
      </c>
      <c r="C126" s="6">
        <v>1</v>
      </c>
      <c r="D126" s="6">
        <v>0</v>
      </c>
      <c r="E126" s="5">
        <v>50640</v>
      </c>
      <c r="F126" s="5">
        <v>0</v>
      </c>
      <c r="G126" s="4">
        <f>IFERROR(D126/C126,"")</f>
        <v>0</v>
      </c>
      <c r="H126" s="4">
        <f>IFERROR(F126/E126,"")</f>
        <v>0</v>
      </c>
    </row>
    <row r="127" spans="1:8" ht="20" customHeight="1" x14ac:dyDescent="0.45">
      <c r="A127" s="2" t="s">
        <v>24</v>
      </c>
      <c r="B127" s="2" t="s">
        <v>36</v>
      </c>
      <c r="C127" s="6">
        <v>1</v>
      </c>
      <c r="D127" s="6">
        <v>1</v>
      </c>
      <c r="E127" s="5">
        <v>98492</v>
      </c>
      <c r="F127" s="5">
        <v>109442.52</v>
      </c>
      <c r="G127" s="4">
        <f>IFERROR(D127/C127,"")</f>
        <v>1</v>
      </c>
      <c r="H127" s="4">
        <f>IFERROR(F127/E127,"")</f>
        <v>1.1111818218738578</v>
      </c>
    </row>
    <row r="128" spans="1:8" ht="20" customHeight="1" x14ac:dyDescent="0.45">
      <c r="A128" s="2" t="s">
        <v>24</v>
      </c>
      <c r="B128" s="2" t="s">
        <v>37</v>
      </c>
      <c r="C128" s="6">
        <v>4</v>
      </c>
      <c r="D128" s="6">
        <v>1</v>
      </c>
      <c r="E128" s="5">
        <v>113060</v>
      </c>
      <c r="F128" s="5">
        <v>67850</v>
      </c>
      <c r="G128" s="4">
        <f>IFERROR(D128/C128,"")</f>
        <v>0.25</v>
      </c>
      <c r="H128" s="4">
        <f>IFERROR(F128/E128,"")</f>
        <v>0.60012382805589948</v>
      </c>
    </row>
    <row r="129" spans="1:8" ht="20" customHeight="1" x14ac:dyDescent="0.45">
      <c r="A129" s="2" t="s">
        <v>24</v>
      </c>
      <c r="B129" s="2" t="s">
        <v>38</v>
      </c>
      <c r="C129" s="6">
        <v>12</v>
      </c>
      <c r="D129" s="6">
        <v>4</v>
      </c>
      <c r="E129" s="5">
        <v>554051</v>
      </c>
      <c r="F129" s="5">
        <v>200088.3</v>
      </c>
      <c r="G129" s="4">
        <f>IFERROR(D129/C129,"")</f>
        <v>0.33333333333333331</v>
      </c>
      <c r="H129" s="4">
        <f>IFERROR(F129/E129,"")</f>
        <v>0.36113697114525556</v>
      </c>
    </row>
    <row r="130" spans="1:8" ht="20" customHeight="1" x14ac:dyDescent="0.45">
      <c r="A130" s="2" t="s">
        <v>24</v>
      </c>
      <c r="B130" s="2" t="s">
        <v>39</v>
      </c>
      <c r="C130" s="6">
        <v>9</v>
      </c>
      <c r="D130" s="6">
        <v>5</v>
      </c>
      <c r="E130" s="5">
        <v>960450</v>
      </c>
      <c r="F130" s="5">
        <v>759775</v>
      </c>
      <c r="G130" s="4">
        <f>IFERROR(D130/C130,"")</f>
        <v>0.55555555555555558</v>
      </c>
      <c r="H130" s="4">
        <f>IFERROR(F130/E130,"")</f>
        <v>0.79106148159716805</v>
      </c>
    </row>
    <row r="131" spans="1:8" ht="20" customHeight="1" x14ac:dyDescent="0.45">
      <c r="A131" s="2" t="s">
        <v>24</v>
      </c>
      <c r="B131" s="2" t="s">
        <v>40</v>
      </c>
      <c r="C131" s="6">
        <v>0</v>
      </c>
      <c r="D131" s="6">
        <v>0</v>
      </c>
      <c r="E131" s="5">
        <v>0</v>
      </c>
      <c r="F131" s="5">
        <v>0</v>
      </c>
      <c r="G131" s="4" t="str">
        <f>IFERROR(D131/C131,"")</f>
        <v/>
      </c>
      <c r="H131" s="4" t="str">
        <f>IFERROR(F131/E131,"")</f>
        <v/>
      </c>
    </row>
    <row r="132" spans="1:8" ht="20" customHeight="1" x14ac:dyDescent="0.45">
      <c r="A132" s="2" t="s">
        <v>24</v>
      </c>
      <c r="B132" s="2" t="s">
        <v>41</v>
      </c>
      <c r="C132" s="6">
        <v>0</v>
      </c>
      <c r="D132" s="6">
        <v>0</v>
      </c>
      <c r="E132" s="5">
        <v>0</v>
      </c>
      <c r="F132" s="5">
        <v>0</v>
      </c>
      <c r="G132" s="4" t="str">
        <f>IFERROR(D132/C132,"")</f>
        <v/>
      </c>
      <c r="H132" s="4" t="str">
        <f>IFERROR(F132/E132,"")</f>
        <v/>
      </c>
    </row>
    <row r="133" spans="1:8" ht="20" customHeight="1" x14ac:dyDescent="0.45">
      <c r="A133" s="7" t="s">
        <v>24</v>
      </c>
      <c r="B133" s="7" t="s">
        <v>42</v>
      </c>
      <c r="C133" s="8">
        <v>40</v>
      </c>
      <c r="D133" s="8">
        <v>14</v>
      </c>
      <c r="E133" s="9">
        <v>2434794.91</v>
      </c>
      <c r="F133" s="9">
        <v>1325978.1599999999</v>
      </c>
      <c r="G133" s="10">
        <f>IFERROR(D133/C133,"")</f>
        <v>0.35</v>
      </c>
      <c r="H133" s="10">
        <f>IFERROR(F133/E133,"")</f>
        <v>0.54459542138602546</v>
      </c>
    </row>
    <row r="143" spans="1:8" ht="14.25" x14ac:dyDescent="0.45"/>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3"/>
  <sheetViews>
    <sheetView showGridLines="0" topLeftCell="A108" zoomScale="85" zoomScaleNormal="85" workbookViewId="0">
      <selection sqref="A1:H133"/>
    </sheetView>
  </sheetViews>
  <sheetFormatPr defaultColWidth="8.6640625" defaultRowHeight="15" customHeight="1" x14ac:dyDescent="0.45"/>
  <cols>
    <col min="1" max="1" width="20.59765625" customWidth="1"/>
    <col min="2" max="2" width="27.73046875" bestFit="1" customWidth="1"/>
    <col min="3" max="8" width="20.59765625" customWidth="1"/>
  </cols>
  <sheetData>
    <row r="1" spans="1:8" ht="27" x14ac:dyDescent="0.45">
      <c r="A1" s="3" t="s">
        <v>25</v>
      </c>
      <c r="B1" s="3" t="s">
        <v>12</v>
      </c>
      <c r="C1" s="3" t="s">
        <v>26</v>
      </c>
      <c r="D1" s="3" t="s">
        <v>27</v>
      </c>
      <c r="E1" s="3" t="s">
        <v>28</v>
      </c>
      <c r="F1" s="3" t="s">
        <v>29</v>
      </c>
      <c r="G1" s="3" t="s">
        <v>30</v>
      </c>
      <c r="H1" s="3" t="s">
        <v>31</v>
      </c>
    </row>
    <row r="2" spans="1:8" ht="20" customHeight="1" x14ac:dyDescent="0.45">
      <c r="A2" s="2" t="s">
        <v>13</v>
      </c>
      <c r="B2" s="2" t="s">
        <v>32</v>
      </c>
      <c r="C2" s="6">
        <v>8</v>
      </c>
      <c r="D2" s="6">
        <v>0</v>
      </c>
      <c r="E2" s="5">
        <v>260862</v>
      </c>
      <c r="F2" s="5">
        <v>0</v>
      </c>
      <c r="G2" s="4">
        <f t="shared" ref="G2:G33" si="0">IFERROR(D2/C2,"")</f>
        <v>0</v>
      </c>
      <c r="H2" s="4">
        <f t="shared" ref="H2:H33" si="1">IFERROR(F2/E2,"")</f>
        <v>0</v>
      </c>
    </row>
    <row r="3" spans="1:8" ht="20" customHeight="1" x14ac:dyDescent="0.45">
      <c r="A3" s="2" t="s">
        <v>13</v>
      </c>
      <c r="B3" s="2" t="s">
        <v>33</v>
      </c>
      <c r="C3" s="6">
        <v>1</v>
      </c>
      <c r="D3" s="6">
        <v>0</v>
      </c>
      <c r="E3" s="5">
        <v>52240</v>
      </c>
      <c r="F3" s="5">
        <v>0</v>
      </c>
      <c r="G3" s="4">
        <f t="shared" si="0"/>
        <v>0</v>
      </c>
      <c r="H3" s="4">
        <f t="shared" si="1"/>
        <v>0</v>
      </c>
    </row>
    <row r="4" spans="1:8" ht="20" customHeight="1" x14ac:dyDescent="0.45">
      <c r="A4" s="2" t="s">
        <v>13</v>
      </c>
      <c r="B4" s="2" t="s">
        <v>34</v>
      </c>
      <c r="C4" s="6">
        <v>0</v>
      </c>
      <c r="D4" s="6">
        <v>0</v>
      </c>
      <c r="E4" s="5">
        <v>0</v>
      </c>
      <c r="F4" s="5">
        <v>0</v>
      </c>
      <c r="G4" s="4" t="str">
        <f t="shared" si="0"/>
        <v/>
      </c>
      <c r="H4" s="4" t="str">
        <f t="shared" si="1"/>
        <v/>
      </c>
    </row>
    <row r="5" spans="1:8" ht="20" customHeight="1" x14ac:dyDescent="0.45">
      <c r="A5" s="2" t="s">
        <v>13</v>
      </c>
      <c r="B5" s="2" t="s">
        <v>35</v>
      </c>
      <c r="C5" s="6">
        <v>2</v>
      </c>
      <c r="D5" s="6">
        <v>0</v>
      </c>
      <c r="E5" s="5">
        <v>41025</v>
      </c>
      <c r="F5" s="5">
        <v>0</v>
      </c>
      <c r="G5" s="4">
        <f t="shared" si="0"/>
        <v>0</v>
      </c>
      <c r="H5" s="4">
        <f t="shared" si="1"/>
        <v>0</v>
      </c>
    </row>
    <row r="6" spans="1:8" ht="20" customHeight="1" x14ac:dyDescent="0.45">
      <c r="A6" s="2" t="s">
        <v>13</v>
      </c>
      <c r="B6" s="2" t="s">
        <v>36</v>
      </c>
      <c r="C6" s="6">
        <v>0</v>
      </c>
      <c r="D6" s="6">
        <v>0</v>
      </c>
      <c r="E6" s="5">
        <v>0</v>
      </c>
      <c r="F6" s="5">
        <v>0</v>
      </c>
      <c r="G6" s="4" t="str">
        <f t="shared" si="0"/>
        <v/>
      </c>
      <c r="H6" s="4" t="str">
        <f t="shared" si="1"/>
        <v/>
      </c>
    </row>
    <row r="7" spans="1:8" ht="20" customHeight="1" x14ac:dyDescent="0.45">
      <c r="A7" s="2" t="s">
        <v>13</v>
      </c>
      <c r="B7" s="2" t="s">
        <v>37</v>
      </c>
      <c r="C7" s="6">
        <v>1</v>
      </c>
      <c r="D7" s="6">
        <v>0</v>
      </c>
      <c r="E7" s="5">
        <v>82800</v>
      </c>
      <c r="F7" s="5">
        <v>0</v>
      </c>
      <c r="G7" s="4">
        <f t="shared" si="0"/>
        <v>0</v>
      </c>
      <c r="H7" s="4">
        <f t="shared" si="1"/>
        <v>0</v>
      </c>
    </row>
    <row r="8" spans="1:8" ht="20" customHeight="1" x14ac:dyDescent="0.45">
      <c r="A8" s="2" t="s">
        <v>13</v>
      </c>
      <c r="B8" s="2" t="s">
        <v>38</v>
      </c>
      <c r="C8" s="6">
        <v>0</v>
      </c>
      <c r="D8" s="6">
        <v>0</v>
      </c>
      <c r="E8" s="5">
        <v>0</v>
      </c>
      <c r="F8" s="5">
        <v>0</v>
      </c>
      <c r="G8" s="4" t="str">
        <f t="shared" si="0"/>
        <v/>
      </c>
      <c r="H8" s="4" t="str">
        <f t="shared" si="1"/>
        <v/>
      </c>
    </row>
    <row r="9" spans="1:8" ht="20" customHeight="1" x14ac:dyDescent="0.45">
      <c r="A9" s="2" t="s">
        <v>13</v>
      </c>
      <c r="B9" s="2" t="s">
        <v>39</v>
      </c>
      <c r="C9" s="6">
        <v>2</v>
      </c>
      <c r="D9" s="6">
        <v>1</v>
      </c>
      <c r="E9" s="5">
        <v>108095</v>
      </c>
      <c r="F9" s="5">
        <v>73380</v>
      </c>
      <c r="G9" s="4">
        <f t="shared" si="0"/>
        <v>0.5</v>
      </c>
      <c r="H9" s="4">
        <f t="shared" si="1"/>
        <v>0.67884731023636613</v>
      </c>
    </row>
    <row r="10" spans="1:8" ht="20" customHeight="1" x14ac:dyDescent="0.45">
      <c r="A10" s="2" t="s">
        <v>13</v>
      </c>
      <c r="B10" s="2" t="s">
        <v>40</v>
      </c>
      <c r="C10" s="6">
        <v>0</v>
      </c>
      <c r="D10" s="6">
        <v>0</v>
      </c>
      <c r="E10" s="5">
        <v>0</v>
      </c>
      <c r="F10" s="5">
        <v>0</v>
      </c>
      <c r="G10" s="4" t="str">
        <f t="shared" si="0"/>
        <v/>
      </c>
      <c r="H10" s="4" t="str">
        <f t="shared" si="1"/>
        <v/>
      </c>
    </row>
    <row r="11" spans="1:8" ht="20" customHeight="1" x14ac:dyDescent="0.45">
      <c r="A11" s="2" t="s">
        <v>13</v>
      </c>
      <c r="B11" s="2" t="s">
        <v>41</v>
      </c>
      <c r="C11" s="6">
        <v>0</v>
      </c>
      <c r="D11" s="6">
        <v>0</v>
      </c>
      <c r="E11" s="5">
        <v>0</v>
      </c>
      <c r="F11" s="5">
        <v>0</v>
      </c>
      <c r="G11" s="4" t="str">
        <f t="shared" si="0"/>
        <v/>
      </c>
      <c r="H11" s="4" t="str">
        <f t="shared" si="1"/>
        <v/>
      </c>
    </row>
    <row r="12" spans="1:8" ht="20" customHeight="1" x14ac:dyDescent="0.45">
      <c r="A12" s="7" t="s">
        <v>13</v>
      </c>
      <c r="B12" s="7" t="s">
        <v>42</v>
      </c>
      <c r="C12" s="8">
        <v>14</v>
      </c>
      <c r="D12" s="8">
        <v>1</v>
      </c>
      <c r="E12" s="9">
        <v>545022</v>
      </c>
      <c r="F12" s="9">
        <v>73380</v>
      </c>
      <c r="G12" s="10">
        <f t="shared" si="0"/>
        <v>7.1428571428571425E-2</v>
      </c>
      <c r="H12" s="10">
        <f t="shared" si="1"/>
        <v>0.13463676695619625</v>
      </c>
    </row>
    <row r="13" spans="1:8" ht="20" customHeight="1" x14ac:dyDescent="0.45">
      <c r="A13" s="2" t="s">
        <v>14</v>
      </c>
      <c r="B13" s="2" t="s">
        <v>32</v>
      </c>
      <c r="C13" s="6">
        <v>16</v>
      </c>
      <c r="D13" s="6">
        <v>2</v>
      </c>
      <c r="E13" s="5">
        <v>891335</v>
      </c>
      <c r="F13" s="5">
        <v>166275</v>
      </c>
      <c r="G13" s="4">
        <f t="shared" si="0"/>
        <v>0.125</v>
      </c>
      <c r="H13" s="4">
        <f t="shared" si="1"/>
        <v>0.18654602366113751</v>
      </c>
    </row>
    <row r="14" spans="1:8" ht="20" customHeight="1" x14ac:dyDescent="0.45">
      <c r="A14" s="2" t="s">
        <v>14</v>
      </c>
      <c r="B14" s="2" t="s">
        <v>33</v>
      </c>
      <c r="C14" s="6">
        <v>12</v>
      </c>
      <c r="D14" s="6">
        <v>0</v>
      </c>
      <c r="E14" s="5">
        <v>1229435</v>
      </c>
      <c r="F14" s="5">
        <v>0</v>
      </c>
      <c r="G14" s="4">
        <f t="shared" si="0"/>
        <v>0</v>
      </c>
      <c r="H14" s="4">
        <f t="shared" si="1"/>
        <v>0</v>
      </c>
    </row>
    <row r="15" spans="1:8" ht="20" customHeight="1" x14ac:dyDescent="0.45">
      <c r="A15" s="2" t="s">
        <v>14</v>
      </c>
      <c r="B15" s="2" t="s">
        <v>34</v>
      </c>
      <c r="C15" s="6">
        <v>0</v>
      </c>
      <c r="D15" s="6">
        <v>0</v>
      </c>
      <c r="E15" s="5">
        <v>0</v>
      </c>
      <c r="F15" s="5">
        <v>0</v>
      </c>
      <c r="G15" s="4" t="str">
        <f t="shared" si="0"/>
        <v/>
      </c>
      <c r="H15" s="4" t="str">
        <f t="shared" si="1"/>
        <v/>
      </c>
    </row>
    <row r="16" spans="1:8" ht="20" customHeight="1" x14ac:dyDescent="0.45">
      <c r="A16" s="2" t="s">
        <v>14</v>
      </c>
      <c r="B16" s="2" t="s">
        <v>35</v>
      </c>
      <c r="C16" s="6">
        <v>6</v>
      </c>
      <c r="D16" s="6">
        <v>0</v>
      </c>
      <c r="E16" s="5">
        <v>147140</v>
      </c>
      <c r="F16" s="5">
        <v>0</v>
      </c>
      <c r="G16" s="4">
        <f t="shared" si="0"/>
        <v>0</v>
      </c>
      <c r="H16" s="4">
        <f t="shared" si="1"/>
        <v>0</v>
      </c>
    </row>
    <row r="17" spans="1:8" ht="20" customHeight="1" x14ac:dyDescent="0.45">
      <c r="A17" s="2" t="s">
        <v>14</v>
      </c>
      <c r="B17" s="2" t="s">
        <v>36</v>
      </c>
      <c r="C17" s="6">
        <v>0</v>
      </c>
      <c r="D17" s="6">
        <v>0</v>
      </c>
      <c r="E17" s="5">
        <v>0</v>
      </c>
      <c r="F17" s="5">
        <v>0</v>
      </c>
      <c r="G17" s="4" t="str">
        <f t="shared" si="0"/>
        <v/>
      </c>
      <c r="H17" s="4" t="str">
        <f t="shared" si="1"/>
        <v/>
      </c>
    </row>
    <row r="18" spans="1:8" ht="20" customHeight="1" x14ac:dyDescent="0.45">
      <c r="A18" s="2" t="s">
        <v>14</v>
      </c>
      <c r="B18" s="2" t="s">
        <v>37</v>
      </c>
      <c r="C18" s="6">
        <v>4</v>
      </c>
      <c r="D18" s="6">
        <v>0</v>
      </c>
      <c r="E18" s="5">
        <v>137125</v>
      </c>
      <c r="F18" s="5">
        <v>0</v>
      </c>
      <c r="G18" s="4">
        <f t="shared" si="0"/>
        <v>0</v>
      </c>
      <c r="H18" s="4">
        <f t="shared" si="1"/>
        <v>0</v>
      </c>
    </row>
    <row r="19" spans="1:8" ht="20" customHeight="1" x14ac:dyDescent="0.45">
      <c r="A19" s="2" t="s">
        <v>14</v>
      </c>
      <c r="B19" s="2" t="s">
        <v>38</v>
      </c>
      <c r="C19" s="6">
        <v>1</v>
      </c>
      <c r="D19" s="6">
        <v>0</v>
      </c>
      <c r="E19" s="5">
        <v>38295</v>
      </c>
      <c r="F19" s="5">
        <v>0</v>
      </c>
      <c r="G19" s="4">
        <f t="shared" si="0"/>
        <v>0</v>
      </c>
      <c r="H19" s="4">
        <f t="shared" si="1"/>
        <v>0</v>
      </c>
    </row>
    <row r="20" spans="1:8" ht="20" customHeight="1" x14ac:dyDescent="0.45">
      <c r="A20" s="2" t="s">
        <v>14</v>
      </c>
      <c r="B20" s="2" t="s">
        <v>39</v>
      </c>
      <c r="C20" s="6">
        <v>5</v>
      </c>
      <c r="D20" s="6">
        <v>2</v>
      </c>
      <c r="E20" s="5">
        <v>446712.76</v>
      </c>
      <c r="F20" s="5">
        <v>96345</v>
      </c>
      <c r="G20" s="4">
        <f t="shared" si="0"/>
        <v>0.4</v>
      </c>
      <c r="H20" s="4">
        <f t="shared" si="1"/>
        <v>0.21567550476955258</v>
      </c>
    </row>
    <row r="21" spans="1:8" ht="20" customHeight="1" x14ac:dyDescent="0.45">
      <c r="A21" s="2" t="s">
        <v>14</v>
      </c>
      <c r="B21" s="2" t="s">
        <v>40</v>
      </c>
      <c r="C21" s="6">
        <v>0</v>
      </c>
      <c r="D21" s="6">
        <v>0</v>
      </c>
      <c r="E21" s="5">
        <v>0</v>
      </c>
      <c r="F21" s="5">
        <v>0</v>
      </c>
      <c r="G21" s="4" t="str">
        <f t="shared" si="0"/>
        <v/>
      </c>
      <c r="H21" s="4" t="str">
        <f t="shared" si="1"/>
        <v/>
      </c>
    </row>
    <row r="22" spans="1:8" ht="20" customHeight="1" x14ac:dyDescent="0.45">
      <c r="A22" s="2" t="s">
        <v>14</v>
      </c>
      <c r="B22" s="2" t="s">
        <v>41</v>
      </c>
      <c r="C22" s="6">
        <v>0</v>
      </c>
      <c r="D22" s="6">
        <v>0</v>
      </c>
      <c r="E22" s="5">
        <v>0</v>
      </c>
      <c r="F22" s="5">
        <v>0</v>
      </c>
      <c r="G22" s="4" t="str">
        <f t="shared" si="0"/>
        <v/>
      </c>
      <c r="H22" s="4" t="str">
        <f t="shared" si="1"/>
        <v/>
      </c>
    </row>
    <row r="23" spans="1:8" ht="20" customHeight="1" x14ac:dyDescent="0.45">
      <c r="A23" s="7" t="s">
        <v>14</v>
      </c>
      <c r="B23" s="7" t="s">
        <v>42</v>
      </c>
      <c r="C23" s="8">
        <v>44</v>
      </c>
      <c r="D23" s="8">
        <v>4</v>
      </c>
      <c r="E23" s="9">
        <v>2890042.76</v>
      </c>
      <c r="F23" s="9">
        <v>262620</v>
      </c>
      <c r="G23" s="10">
        <f t="shared" si="0"/>
        <v>9.0909090909090912E-2</v>
      </c>
      <c r="H23" s="10">
        <f t="shared" si="1"/>
        <v>9.0870627810364993E-2</v>
      </c>
    </row>
    <row r="24" spans="1:8" ht="20" customHeight="1" x14ac:dyDescent="0.45">
      <c r="A24" s="2" t="s">
        <v>15</v>
      </c>
      <c r="B24" s="2" t="s">
        <v>32</v>
      </c>
      <c r="C24" s="6">
        <v>3</v>
      </c>
      <c r="D24" s="6">
        <v>1</v>
      </c>
      <c r="E24" s="5">
        <v>95750</v>
      </c>
      <c r="F24" s="5">
        <v>67774.080000000002</v>
      </c>
      <c r="G24" s="4">
        <f t="shared" si="0"/>
        <v>0.33333333333333331</v>
      </c>
      <c r="H24" s="4">
        <f t="shared" si="1"/>
        <v>0.70782328981723242</v>
      </c>
    </row>
    <row r="25" spans="1:8" ht="20" customHeight="1" x14ac:dyDescent="0.45">
      <c r="A25" s="2" t="s">
        <v>15</v>
      </c>
      <c r="B25" s="2" t="s">
        <v>33</v>
      </c>
      <c r="C25" s="6">
        <v>0</v>
      </c>
      <c r="D25" s="6">
        <v>0</v>
      </c>
      <c r="E25" s="5">
        <v>0</v>
      </c>
      <c r="F25" s="5">
        <v>0</v>
      </c>
      <c r="G25" s="4" t="str">
        <f t="shared" si="0"/>
        <v/>
      </c>
      <c r="H25" s="4" t="str">
        <f t="shared" si="1"/>
        <v/>
      </c>
    </row>
    <row r="26" spans="1:8" ht="20" customHeight="1" x14ac:dyDescent="0.45">
      <c r="A26" s="2" t="s">
        <v>15</v>
      </c>
      <c r="B26" s="2" t="s">
        <v>34</v>
      </c>
      <c r="C26" s="6">
        <v>1</v>
      </c>
      <c r="D26" s="6">
        <v>0</v>
      </c>
      <c r="E26" s="5">
        <v>0</v>
      </c>
      <c r="F26" s="5">
        <v>0</v>
      </c>
      <c r="G26" s="4">
        <f t="shared" si="0"/>
        <v>0</v>
      </c>
      <c r="H26" s="4" t="str">
        <f t="shared" si="1"/>
        <v/>
      </c>
    </row>
    <row r="27" spans="1:8" ht="20" customHeight="1" x14ac:dyDescent="0.45">
      <c r="A27" s="2" t="s">
        <v>15</v>
      </c>
      <c r="B27" s="2" t="s">
        <v>35</v>
      </c>
      <c r="C27" s="6">
        <v>0</v>
      </c>
      <c r="D27" s="6">
        <v>0</v>
      </c>
      <c r="E27" s="5">
        <v>0</v>
      </c>
      <c r="F27" s="5">
        <v>0</v>
      </c>
      <c r="G27" s="4" t="str">
        <f t="shared" si="0"/>
        <v/>
      </c>
      <c r="H27" s="4" t="str">
        <f t="shared" si="1"/>
        <v/>
      </c>
    </row>
    <row r="28" spans="1:8" ht="20" customHeight="1" x14ac:dyDescent="0.45">
      <c r="A28" s="2" t="s">
        <v>15</v>
      </c>
      <c r="B28" s="2" t="s">
        <v>36</v>
      </c>
      <c r="C28" s="6">
        <v>0</v>
      </c>
      <c r="D28" s="6">
        <v>0</v>
      </c>
      <c r="E28" s="5">
        <v>0</v>
      </c>
      <c r="F28" s="5">
        <v>0</v>
      </c>
      <c r="G28" s="4" t="str">
        <f t="shared" si="0"/>
        <v/>
      </c>
      <c r="H28" s="4" t="str">
        <f t="shared" si="1"/>
        <v/>
      </c>
    </row>
    <row r="29" spans="1:8" ht="20" customHeight="1" x14ac:dyDescent="0.45">
      <c r="A29" s="2" t="s">
        <v>15</v>
      </c>
      <c r="B29" s="2" t="s">
        <v>37</v>
      </c>
      <c r="C29" s="6">
        <v>4</v>
      </c>
      <c r="D29" s="6">
        <v>0</v>
      </c>
      <c r="E29" s="5">
        <v>193877</v>
      </c>
      <c r="F29" s="5">
        <v>0</v>
      </c>
      <c r="G29" s="4">
        <f t="shared" si="0"/>
        <v>0</v>
      </c>
      <c r="H29" s="4">
        <f t="shared" si="1"/>
        <v>0</v>
      </c>
    </row>
    <row r="30" spans="1:8" ht="20" customHeight="1" x14ac:dyDescent="0.45">
      <c r="A30" s="2" t="s">
        <v>15</v>
      </c>
      <c r="B30" s="2" t="s">
        <v>38</v>
      </c>
      <c r="C30" s="6">
        <v>1</v>
      </c>
      <c r="D30" s="6">
        <v>1</v>
      </c>
      <c r="E30" s="5">
        <v>48000</v>
      </c>
      <c r="F30" s="5">
        <v>55225</v>
      </c>
      <c r="G30" s="4">
        <f t="shared" si="0"/>
        <v>1</v>
      </c>
      <c r="H30" s="4">
        <f t="shared" si="1"/>
        <v>1.1505208333333334</v>
      </c>
    </row>
    <row r="31" spans="1:8" ht="20" customHeight="1" x14ac:dyDescent="0.45">
      <c r="A31" s="2" t="s">
        <v>15</v>
      </c>
      <c r="B31" s="2" t="s">
        <v>39</v>
      </c>
      <c r="C31" s="6">
        <v>5</v>
      </c>
      <c r="D31" s="6">
        <v>0</v>
      </c>
      <c r="E31" s="5">
        <v>423213.5</v>
      </c>
      <c r="F31" s="5">
        <v>0</v>
      </c>
      <c r="G31" s="4">
        <f t="shared" si="0"/>
        <v>0</v>
      </c>
      <c r="H31" s="4">
        <f t="shared" si="1"/>
        <v>0</v>
      </c>
    </row>
    <row r="32" spans="1:8" ht="20" customHeight="1" x14ac:dyDescent="0.45">
      <c r="A32" s="2" t="s">
        <v>15</v>
      </c>
      <c r="B32" s="2" t="s">
        <v>40</v>
      </c>
      <c r="C32" s="6">
        <v>0</v>
      </c>
      <c r="D32" s="6">
        <v>0</v>
      </c>
      <c r="E32" s="5">
        <v>0</v>
      </c>
      <c r="F32" s="5">
        <v>0</v>
      </c>
      <c r="G32" s="4" t="str">
        <f t="shared" si="0"/>
        <v/>
      </c>
      <c r="H32" s="4" t="str">
        <f t="shared" si="1"/>
        <v/>
      </c>
    </row>
    <row r="33" spans="1:8" ht="20" customHeight="1" x14ac:dyDescent="0.45">
      <c r="A33" s="2" t="s">
        <v>15</v>
      </c>
      <c r="B33" s="2" t="s">
        <v>41</v>
      </c>
      <c r="C33" s="6">
        <v>0</v>
      </c>
      <c r="D33" s="6">
        <v>0</v>
      </c>
      <c r="E33" s="5">
        <v>0</v>
      </c>
      <c r="F33" s="5">
        <v>0</v>
      </c>
      <c r="G33" s="4" t="str">
        <f t="shared" si="0"/>
        <v/>
      </c>
      <c r="H33" s="4" t="str">
        <f t="shared" si="1"/>
        <v/>
      </c>
    </row>
    <row r="34" spans="1:8" ht="20" customHeight="1" x14ac:dyDescent="0.45">
      <c r="A34" s="7" t="s">
        <v>15</v>
      </c>
      <c r="B34" s="7" t="s">
        <v>42</v>
      </c>
      <c r="C34" s="8">
        <v>14</v>
      </c>
      <c r="D34" s="8">
        <v>2</v>
      </c>
      <c r="E34" s="9">
        <v>760840.5</v>
      </c>
      <c r="F34" s="9">
        <v>122999.08</v>
      </c>
      <c r="G34" s="10">
        <f t="shared" ref="G34:G65" si="2">IFERROR(D34/C34,"")</f>
        <v>0.14285714285714285</v>
      </c>
      <c r="H34" s="10">
        <f t="shared" ref="H34:H65" si="3">IFERROR(F34/E34,"")</f>
        <v>0.16166210920685742</v>
      </c>
    </row>
    <row r="35" spans="1:8" ht="20" customHeight="1" x14ac:dyDescent="0.45">
      <c r="A35" s="2" t="s">
        <v>16</v>
      </c>
      <c r="B35" s="2" t="s">
        <v>32</v>
      </c>
      <c r="C35" s="6">
        <v>4</v>
      </c>
      <c r="D35" s="6">
        <v>1</v>
      </c>
      <c r="E35" s="5">
        <v>364780</v>
      </c>
      <c r="F35" s="5">
        <v>40200</v>
      </c>
      <c r="G35" s="4">
        <f t="shared" si="2"/>
        <v>0.25</v>
      </c>
      <c r="H35" s="4">
        <f t="shared" si="3"/>
        <v>0.11020341027468611</v>
      </c>
    </row>
    <row r="36" spans="1:8" ht="20" customHeight="1" x14ac:dyDescent="0.45">
      <c r="A36" s="2" t="s">
        <v>16</v>
      </c>
      <c r="B36" s="2" t="s">
        <v>33</v>
      </c>
      <c r="C36" s="6">
        <v>3</v>
      </c>
      <c r="D36" s="6">
        <v>0</v>
      </c>
      <c r="E36" s="5">
        <v>127200</v>
      </c>
      <c r="F36" s="5">
        <v>0</v>
      </c>
      <c r="G36" s="4">
        <f t="shared" si="2"/>
        <v>0</v>
      </c>
      <c r="H36" s="4">
        <f t="shared" si="3"/>
        <v>0</v>
      </c>
    </row>
    <row r="37" spans="1:8" ht="20" customHeight="1" x14ac:dyDescent="0.45">
      <c r="A37" s="2" t="s">
        <v>16</v>
      </c>
      <c r="B37" s="2" t="s">
        <v>34</v>
      </c>
      <c r="C37" s="6">
        <v>1</v>
      </c>
      <c r="D37" s="6">
        <v>0</v>
      </c>
      <c r="E37" s="5">
        <v>0</v>
      </c>
      <c r="F37" s="5">
        <v>0</v>
      </c>
      <c r="G37" s="4">
        <f t="shared" si="2"/>
        <v>0</v>
      </c>
      <c r="H37" s="4" t="str">
        <f t="shared" si="3"/>
        <v/>
      </c>
    </row>
    <row r="38" spans="1:8" ht="20" customHeight="1" x14ac:dyDescent="0.45">
      <c r="A38" s="2" t="s">
        <v>16</v>
      </c>
      <c r="B38" s="2" t="s">
        <v>35</v>
      </c>
      <c r="C38" s="6">
        <v>0</v>
      </c>
      <c r="D38" s="6">
        <v>0</v>
      </c>
      <c r="E38" s="5">
        <v>0</v>
      </c>
      <c r="F38" s="5">
        <v>0</v>
      </c>
      <c r="G38" s="4" t="str">
        <f t="shared" si="2"/>
        <v/>
      </c>
      <c r="H38" s="4" t="str">
        <f t="shared" si="3"/>
        <v/>
      </c>
    </row>
    <row r="39" spans="1:8" ht="20" customHeight="1" x14ac:dyDescent="0.45">
      <c r="A39" s="2" t="s">
        <v>16</v>
      </c>
      <c r="B39" s="2" t="s">
        <v>36</v>
      </c>
      <c r="C39" s="6">
        <v>0</v>
      </c>
      <c r="D39" s="6">
        <v>0</v>
      </c>
      <c r="E39" s="5">
        <v>0</v>
      </c>
      <c r="F39" s="5">
        <v>0</v>
      </c>
      <c r="G39" s="4" t="str">
        <f t="shared" si="2"/>
        <v/>
      </c>
      <c r="H39" s="4" t="str">
        <f t="shared" si="3"/>
        <v/>
      </c>
    </row>
    <row r="40" spans="1:8" ht="20" customHeight="1" x14ac:dyDescent="0.45">
      <c r="A40" s="2" t="s">
        <v>16</v>
      </c>
      <c r="B40" s="2" t="s">
        <v>37</v>
      </c>
      <c r="C40" s="6">
        <v>4</v>
      </c>
      <c r="D40" s="6">
        <v>1</v>
      </c>
      <c r="E40" s="5">
        <v>92925</v>
      </c>
      <c r="F40" s="5">
        <v>17740</v>
      </c>
      <c r="G40" s="4">
        <f t="shared" si="2"/>
        <v>0.25</v>
      </c>
      <c r="H40" s="4">
        <f t="shared" si="3"/>
        <v>0.19090664514393327</v>
      </c>
    </row>
    <row r="41" spans="1:8" ht="20" customHeight="1" x14ac:dyDescent="0.45">
      <c r="A41" s="2" t="s">
        <v>16</v>
      </c>
      <c r="B41" s="2" t="s">
        <v>38</v>
      </c>
      <c r="C41" s="6">
        <v>0</v>
      </c>
      <c r="D41" s="6">
        <v>0</v>
      </c>
      <c r="E41" s="5">
        <v>0</v>
      </c>
      <c r="F41" s="5">
        <v>0</v>
      </c>
      <c r="G41" s="4" t="str">
        <f t="shared" si="2"/>
        <v/>
      </c>
      <c r="H41" s="4" t="str">
        <f t="shared" si="3"/>
        <v/>
      </c>
    </row>
    <row r="42" spans="1:8" ht="20" customHeight="1" x14ac:dyDescent="0.45">
      <c r="A42" s="2" t="s">
        <v>16</v>
      </c>
      <c r="B42" s="2" t="s">
        <v>39</v>
      </c>
      <c r="C42" s="6">
        <v>3</v>
      </c>
      <c r="D42" s="6">
        <v>0</v>
      </c>
      <c r="E42" s="5">
        <v>42830</v>
      </c>
      <c r="F42" s="5">
        <v>0</v>
      </c>
      <c r="G42" s="4">
        <f t="shared" si="2"/>
        <v>0</v>
      </c>
      <c r="H42" s="4">
        <f t="shared" si="3"/>
        <v>0</v>
      </c>
    </row>
    <row r="43" spans="1:8" ht="20" customHeight="1" x14ac:dyDescent="0.45">
      <c r="A43" s="2" t="s">
        <v>16</v>
      </c>
      <c r="B43" s="2" t="s">
        <v>40</v>
      </c>
      <c r="C43" s="6">
        <v>0</v>
      </c>
      <c r="D43" s="6">
        <v>0</v>
      </c>
      <c r="E43" s="5">
        <v>0</v>
      </c>
      <c r="F43" s="5">
        <v>0</v>
      </c>
      <c r="G43" s="4" t="str">
        <f t="shared" si="2"/>
        <v/>
      </c>
      <c r="H43" s="4" t="str">
        <f t="shared" si="3"/>
        <v/>
      </c>
    </row>
    <row r="44" spans="1:8" ht="20" customHeight="1" x14ac:dyDescent="0.45">
      <c r="A44" s="2" t="s">
        <v>16</v>
      </c>
      <c r="B44" s="2" t="s">
        <v>41</v>
      </c>
      <c r="C44" s="6">
        <v>0</v>
      </c>
      <c r="D44" s="6">
        <v>0</v>
      </c>
      <c r="E44" s="5">
        <v>0</v>
      </c>
      <c r="F44" s="5">
        <v>0</v>
      </c>
      <c r="G44" s="4" t="str">
        <f t="shared" si="2"/>
        <v/>
      </c>
      <c r="H44" s="4" t="str">
        <f t="shared" si="3"/>
        <v/>
      </c>
    </row>
    <row r="45" spans="1:8" ht="20" customHeight="1" x14ac:dyDescent="0.45">
      <c r="A45" s="7" t="s">
        <v>16</v>
      </c>
      <c r="B45" s="7" t="s">
        <v>42</v>
      </c>
      <c r="C45" s="8">
        <v>15</v>
      </c>
      <c r="D45" s="8">
        <v>2</v>
      </c>
      <c r="E45" s="9">
        <v>627735</v>
      </c>
      <c r="F45" s="9">
        <v>57940</v>
      </c>
      <c r="G45" s="10">
        <f t="shared" si="2"/>
        <v>0.13333333333333333</v>
      </c>
      <c r="H45" s="10">
        <f t="shared" si="3"/>
        <v>9.2300094785219874E-2</v>
      </c>
    </row>
    <row r="46" spans="1:8" ht="20" customHeight="1" x14ac:dyDescent="0.45">
      <c r="A46" s="2" t="s">
        <v>17</v>
      </c>
      <c r="B46" s="2" t="s">
        <v>32</v>
      </c>
      <c r="C46" s="6">
        <v>6</v>
      </c>
      <c r="D46" s="6">
        <v>0</v>
      </c>
      <c r="E46" s="5">
        <v>609590.9</v>
      </c>
      <c r="F46" s="5">
        <v>0</v>
      </c>
      <c r="G46" s="4">
        <f t="shared" si="2"/>
        <v>0</v>
      </c>
      <c r="H46" s="4">
        <f t="shared" si="3"/>
        <v>0</v>
      </c>
    </row>
    <row r="47" spans="1:8" ht="20" customHeight="1" x14ac:dyDescent="0.45">
      <c r="A47" s="2" t="s">
        <v>17</v>
      </c>
      <c r="B47" s="2" t="s">
        <v>33</v>
      </c>
      <c r="C47" s="6">
        <v>2</v>
      </c>
      <c r="D47" s="6">
        <v>0</v>
      </c>
      <c r="E47" s="5">
        <v>478740</v>
      </c>
      <c r="F47" s="5">
        <v>0</v>
      </c>
      <c r="G47" s="4">
        <f t="shared" si="2"/>
        <v>0</v>
      </c>
      <c r="H47" s="4">
        <f t="shared" si="3"/>
        <v>0</v>
      </c>
    </row>
    <row r="48" spans="1:8" ht="20" customHeight="1" x14ac:dyDescent="0.45">
      <c r="A48" s="2" t="s">
        <v>17</v>
      </c>
      <c r="B48" s="2" t="s">
        <v>34</v>
      </c>
      <c r="C48" s="6">
        <v>1</v>
      </c>
      <c r="D48" s="6">
        <v>0</v>
      </c>
      <c r="E48" s="5">
        <v>1425</v>
      </c>
      <c r="F48" s="5">
        <v>0</v>
      </c>
      <c r="G48" s="4">
        <f t="shared" si="2"/>
        <v>0</v>
      </c>
      <c r="H48" s="4">
        <f t="shared" si="3"/>
        <v>0</v>
      </c>
    </row>
    <row r="49" spans="1:8" ht="20" customHeight="1" x14ac:dyDescent="0.45">
      <c r="A49" s="2" t="s">
        <v>17</v>
      </c>
      <c r="B49" s="2" t="s">
        <v>35</v>
      </c>
      <c r="C49" s="6">
        <v>0</v>
      </c>
      <c r="D49" s="6">
        <v>0</v>
      </c>
      <c r="E49" s="5">
        <v>0</v>
      </c>
      <c r="F49" s="5">
        <v>0</v>
      </c>
      <c r="G49" s="4" t="str">
        <f t="shared" si="2"/>
        <v/>
      </c>
      <c r="H49" s="4" t="str">
        <f t="shared" si="3"/>
        <v/>
      </c>
    </row>
    <row r="50" spans="1:8" ht="20" customHeight="1" x14ac:dyDescent="0.45">
      <c r="A50" s="2" t="s">
        <v>17</v>
      </c>
      <c r="B50" s="2" t="s">
        <v>36</v>
      </c>
      <c r="C50" s="6">
        <v>0</v>
      </c>
      <c r="D50" s="6">
        <v>0</v>
      </c>
      <c r="E50" s="5">
        <v>0</v>
      </c>
      <c r="F50" s="5">
        <v>0</v>
      </c>
      <c r="G50" s="4" t="str">
        <f t="shared" si="2"/>
        <v/>
      </c>
      <c r="H50" s="4" t="str">
        <f t="shared" si="3"/>
        <v/>
      </c>
    </row>
    <row r="51" spans="1:8" ht="20" customHeight="1" x14ac:dyDescent="0.45">
      <c r="A51" s="2" t="s">
        <v>17</v>
      </c>
      <c r="B51" s="2" t="s">
        <v>37</v>
      </c>
      <c r="C51" s="6">
        <v>5</v>
      </c>
      <c r="D51" s="6">
        <v>0</v>
      </c>
      <c r="E51" s="5">
        <v>261895</v>
      </c>
      <c r="F51" s="5">
        <v>0</v>
      </c>
      <c r="G51" s="4">
        <f t="shared" si="2"/>
        <v>0</v>
      </c>
      <c r="H51" s="4">
        <f t="shared" si="3"/>
        <v>0</v>
      </c>
    </row>
    <row r="52" spans="1:8" ht="20" customHeight="1" x14ac:dyDescent="0.45">
      <c r="A52" s="2" t="s">
        <v>17</v>
      </c>
      <c r="B52" s="2" t="s">
        <v>38</v>
      </c>
      <c r="C52" s="6">
        <v>0</v>
      </c>
      <c r="D52" s="6">
        <v>0</v>
      </c>
      <c r="E52" s="5">
        <v>0</v>
      </c>
      <c r="F52" s="5">
        <v>0</v>
      </c>
      <c r="G52" s="4" t="str">
        <f t="shared" si="2"/>
        <v/>
      </c>
      <c r="H52" s="4" t="str">
        <f t="shared" si="3"/>
        <v/>
      </c>
    </row>
    <row r="53" spans="1:8" ht="20" customHeight="1" x14ac:dyDescent="0.45">
      <c r="A53" s="2" t="s">
        <v>17</v>
      </c>
      <c r="B53" s="2" t="s">
        <v>39</v>
      </c>
      <c r="C53" s="6">
        <v>1</v>
      </c>
      <c r="D53" s="6">
        <v>0</v>
      </c>
      <c r="E53" s="5">
        <v>49795</v>
      </c>
      <c r="F53" s="5">
        <v>0</v>
      </c>
      <c r="G53" s="4">
        <f t="shared" si="2"/>
        <v>0</v>
      </c>
      <c r="H53" s="4">
        <f t="shared" si="3"/>
        <v>0</v>
      </c>
    </row>
    <row r="54" spans="1:8" ht="20" customHeight="1" x14ac:dyDescent="0.45">
      <c r="A54" s="2" t="s">
        <v>17</v>
      </c>
      <c r="B54" s="2" t="s">
        <v>40</v>
      </c>
      <c r="C54" s="6">
        <v>0</v>
      </c>
      <c r="D54" s="6">
        <v>0</v>
      </c>
      <c r="E54" s="5">
        <v>0</v>
      </c>
      <c r="F54" s="5">
        <v>0</v>
      </c>
      <c r="G54" s="4" t="str">
        <f t="shared" si="2"/>
        <v/>
      </c>
      <c r="H54" s="4" t="str">
        <f t="shared" si="3"/>
        <v/>
      </c>
    </row>
    <row r="55" spans="1:8" ht="20" customHeight="1" x14ac:dyDescent="0.45">
      <c r="A55" s="2" t="s">
        <v>17</v>
      </c>
      <c r="B55" s="2" t="s">
        <v>41</v>
      </c>
      <c r="C55" s="6">
        <v>0</v>
      </c>
      <c r="D55" s="6">
        <v>0</v>
      </c>
      <c r="E55" s="5">
        <v>0</v>
      </c>
      <c r="F55" s="5">
        <v>0</v>
      </c>
      <c r="G55" s="4" t="str">
        <f t="shared" si="2"/>
        <v/>
      </c>
      <c r="H55" s="4" t="str">
        <f t="shared" si="3"/>
        <v/>
      </c>
    </row>
    <row r="56" spans="1:8" ht="20" customHeight="1" x14ac:dyDescent="0.45">
      <c r="A56" s="7" t="s">
        <v>17</v>
      </c>
      <c r="B56" s="7" t="s">
        <v>42</v>
      </c>
      <c r="C56" s="8">
        <v>15</v>
      </c>
      <c r="D56" s="8">
        <v>0</v>
      </c>
      <c r="E56" s="9">
        <v>1401445.9</v>
      </c>
      <c r="F56" s="9">
        <v>0</v>
      </c>
      <c r="G56" s="10">
        <f t="shared" si="2"/>
        <v>0</v>
      </c>
      <c r="H56" s="10">
        <f t="shared" si="3"/>
        <v>0</v>
      </c>
    </row>
    <row r="57" spans="1:8" ht="20" customHeight="1" x14ac:dyDescent="0.45">
      <c r="A57" s="2" t="s">
        <v>18</v>
      </c>
      <c r="B57" s="2" t="s">
        <v>32</v>
      </c>
      <c r="C57" s="6">
        <v>5</v>
      </c>
      <c r="D57" s="6">
        <v>1</v>
      </c>
      <c r="E57" s="5">
        <v>678208.5</v>
      </c>
      <c r="F57" s="5">
        <v>38632.5</v>
      </c>
      <c r="G57" s="4">
        <f t="shared" si="2"/>
        <v>0.2</v>
      </c>
      <c r="H57" s="4">
        <f t="shared" si="3"/>
        <v>5.6962571244683603E-2</v>
      </c>
    </row>
    <row r="58" spans="1:8" ht="20" customHeight="1" x14ac:dyDescent="0.45">
      <c r="A58" s="2" t="s">
        <v>18</v>
      </c>
      <c r="B58" s="2" t="s">
        <v>33</v>
      </c>
      <c r="C58" s="6">
        <v>0</v>
      </c>
      <c r="D58" s="6">
        <v>0</v>
      </c>
      <c r="E58" s="5">
        <v>0</v>
      </c>
      <c r="F58" s="5">
        <v>0</v>
      </c>
      <c r="G58" s="4" t="str">
        <f t="shared" si="2"/>
        <v/>
      </c>
      <c r="H58" s="4" t="str">
        <f t="shared" si="3"/>
        <v/>
      </c>
    </row>
    <row r="59" spans="1:8" ht="20" customHeight="1" x14ac:dyDescent="0.45">
      <c r="A59" s="2" t="s">
        <v>18</v>
      </c>
      <c r="B59" s="2" t="s">
        <v>34</v>
      </c>
      <c r="C59" s="6">
        <v>0</v>
      </c>
      <c r="D59" s="6">
        <v>0</v>
      </c>
      <c r="E59" s="5">
        <v>0</v>
      </c>
      <c r="F59" s="5">
        <v>0</v>
      </c>
      <c r="G59" s="4" t="str">
        <f t="shared" si="2"/>
        <v/>
      </c>
      <c r="H59" s="4" t="str">
        <f t="shared" si="3"/>
        <v/>
      </c>
    </row>
    <row r="60" spans="1:8" ht="20" customHeight="1" x14ac:dyDescent="0.45">
      <c r="A60" s="2" t="s">
        <v>18</v>
      </c>
      <c r="B60" s="2" t="s">
        <v>35</v>
      </c>
      <c r="C60" s="6">
        <v>1</v>
      </c>
      <c r="D60" s="6">
        <v>0</v>
      </c>
      <c r="E60" s="5">
        <v>0</v>
      </c>
      <c r="F60" s="5">
        <v>0</v>
      </c>
      <c r="G60" s="4">
        <f t="shared" si="2"/>
        <v>0</v>
      </c>
      <c r="H60" s="4" t="str">
        <f t="shared" si="3"/>
        <v/>
      </c>
    </row>
    <row r="61" spans="1:8" ht="20" customHeight="1" x14ac:dyDescent="0.45">
      <c r="A61" s="2" t="s">
        <v>18</v>
      </c>
      <c r="B61" s="2" t="s">
        <v>36</v>
      </c>
      <c r="C61" s="6">
        <v>0</v>
      </c>
      <c r="D61" s="6">
        <v>0</v>
      </c>
      <c r="E61" s="5">
        <v>0</v>
      </c>
      <c r="F61" s="5">
        <v>0</v>
      </c>
      <c r="G61" s="4" t="str">
        <f t="shared" si="2"/>
        <v/>
      </c>
      <c r="H61" s="4" t="str">
        <f t="shared" si="3"/>
        <v/>
      </c>
    </row>
    <row r="62" spans="1:8" ht="20" customHeight="1" x14ac:dyDescent="0.45">
      <c r="A62" s="2" t="s">
        <v>18</v>
      </c>
      <c r="B62" s="2" t="s">
        <v>37</v>
      </c>
      <c r="C62" s="6">
        <v>2</v>
      </c>
      <c r="D62" s="6">
        <v>0</v>
      </c>
      <c r="E62" s="5">
        <v>131860</v>
      </c>
      <c r="F62" s="5">
        <v>0</v>
      </c>
      <c r="G62" s="4">
        <f t="shared" si="2"/>
        <v>0</v>
      </c>
      <c r="H62" s="4">
        <f t="shared" si="3"/>
        <v>0</v>
      </c>
    </row>
    <row r="63" spans="1:8" ht="20" customHeight="1" x14ac:dyDescent="0.45">
      <c r="A63" s="2" t="s">
        <v>18</v>
      </c>
      <c r="B63" s="2" t="s">
        <v>38</v>
      </c>
      <c r="C63" s="6">
        <v>0</v>
      </c>
      <c r="D63" s="6">
        <v>0</v>
      </c>
      <c r="E63" s="5">
        <v>0</v>
      </c>
      <c r="F63" s="5">
        <v>0</v>
      </c>
      <c r="G63" s="4" t="str">
        <f t="shared" si="2"/>
        <v/>
      </c>
      <c r="H63" s="4" t="str">
        <f t="shared" si="3"/>
        <v/>
      </c>
    </row>
    <row r="64" spans="1:8" ht="20" customHeight="1" x14ac:dyDescent="0.45">
      <c r="A64" s="2" t="s">
        <v>18</v>
      </c>
      <c r="B64" s="2" t="s">
        <v>39</v>
      </c>
      <c r="C64" s="6">
        <v>2</v>
      </c>
      <c r="D64" s="6">
        <v>0</v>
      </c>
      <c r="E64" s="5">
        <v>205000</v>
      </c>
      <c r="F64" s="5">
        <v>0</v>
      </c>
      <c r="G64" s="4">
        <f t="shared" si="2"/>
        <v>0</v>
      </c>
      <c r="H64" s="4">
        <f t="shared" si="3"/>
        <v>0</v>
      </c>
    </row>
    <row r="65" spans="1:8" ht="20" customHeight="1" x14ac:dyDescent="0.45">
      <c r="A65" s="2" t="s">
        <v>18</v>
      </c>
      <c r="B65" s="2" t="s">
        <v>40</v>
      </c>
      <c r="C65" s="6">
        <v>0</v>
      </c>
      <c r="D65" s="6">
        <v>0</v>
      </c>
      <c r="E65" s="5">
        <v>0</v>
      </c>
      <c r="F65" s="5">
        <v>0</v>
      </c>
      <c r="G65" s="4" t="str">
        <f t="shared" si="2"/>
        <v/>
      </c>
      <c r="H65" s="4" t="str">
        <f t="shared" si="3"/>
        <v/>
      </c>
    </row>
    <row r="66" spans="1:8" ht="20" customHeight="1" x14ac:dyDescent="0.45">
      <c r="A66" s="2" t="s">
        <v>18</v>
      </c>
      <c r="B66" s="2" t="s">
        <v>41</v>
      </c>
      <c r="C66" s="6">
        <v>0</v>
      </c>
      <c r="D66" s="6">
        <v>0</v>
      </c>
      <c r="E66" s="5">
        <v>0</v>
      </c>
      <c r="F66" s="5">
        <v>0</v>
      </c>
      <c r="G66" s="4" t="str">
        <f t="shared" ref="G66:G97" si="4">IFERROR(D66/C66,"")</f>
        <v/>
      </c>
      <c r="H66" s="4" t="str">
        <f t="shared" ref="H66:H97" si="5">IFERROR(F66/E66,"")</f>
        <v/>
      </c>
    </row>
    <row r="67" spans="1:8" ht="20" customHeight="1" x14ac:dyDescent="0.45">
      <c r="A67" s="7" t="s">
        <v>18</v>
      </c>
      <c r="B67" s="7" t="s">
        <v>42</v>
      </c>
      <c r="C67" s="8">
        <v>10</v>
      </c>
      <c r="D67" s="8">
        <v>1</v>
      </c>
      <c r="E67" s="9">
        <v>1015068.5</v>
      </c>
      <c r="F67" s="9">
        <v>38632.5</v>
      </c>
      <c r="G67" s="10">
        <f t="shared" si="4"/>
        <v>0.1</v>
      </c>
      <c r="H67" s="10">
        <f t="shared" si="5"/>
        <v>3.8059007840357574E-2</v>
      </c>
    </row>
    <row r="68" spans="1:8" ht="20" customHeight="1" x14ac:dyDescent="0.45">
      <c r="A68" s="2" t="s">
        <v>19</v>
      </c>
      <c r="B68" s="2" t="s">
        <v>32</v>
      </c>
      <c r="C68" s="6">
        <v>3</v>
      </c>
      <c r="D68" s="6">
        <v>0</v>
      </c>
      <c r="E68" s="5">
        <v>230686</v>
      </c>
      <c r="F68" s="5">
        <v>0</v>
      </c>
      <c r="G68" s="4">
        <f t="shared" si="4"/>
        <v>0</v>
      </c>
      <c r="H68" s="4">
        <f t="shared" si="5"/>
        <v>0</v>
      </c>
    </row>
    <row r="69" spans="1:8" ht="20" customHeight="1" x14ac:dyDescent="0.45">
      <c r="A69" s="2" t="s">
        <v>19</v>
      </c>
      <c r="B69" s="2" t="s">
        <v>33</v>
      </c>
      <c r="C69" s="6">
        <v>7</v>
      </c>
      <c r="D69" s="6">
        <v>0</v>
      </c>
      <c r="E69" s="5">
        <v>306830</v>
      </c>
      <c r="F69" s="5">
        <v>0</v>
      </c>
      <c r="G69" s="4">
        <f t="shared" si="4"/>
        <v>0</v>
      </c>
      <c r="H69" s="4">
        <f t="shared" si="5"/>
        <v>0</v>
      </c>
    </row>
    <row r="70" spans="1:8" ht="20" customHeight="1" x14ac:dyDescent="0.45">
      <c r="A70" s="2" t="s">
        <v>19</v>
      </c>
      <c r="B70" s="2" t="s">
        <v>34</v>
      </c>
      <c r="C70" s="6">
        <v>0</v>
      </c>
      <c r="D70" s="6">
        <v>0</v>
      </c>
      <c r="E70" s="5">
        <v>0</v>
      </c>
      <c r="F70" s="5">
        <v>0</v>
      </c>
      <c r="G70" s="4" t="str">
        <f t="shared" si="4"/>
        <v/>
      </c>
      <c r="H70" s="4" t="str">
        <f t="shared" si="5"/>
        <v/>
      </c>
    </row>
    <row r="71" spans="1:8" ht="20" customHeight="1" x14ac:dyDescent="0.45">
      <c r="A71" s="2" t="s">
        <v>19</v>
      </c>
      <c r="B71" s="2" t="s">
        <v>35</v>
      </c>
      <c r="C71" s="6">
        <v>1</v>
      </c>
      <c r="D71" s="6">
        <v>0</v>
      </c>
      <c r="E71" s="5">
        <v>196925.18</v>
      </c>
      <c r="F71" s="5">
        <v>0</v>
      </c>
      <c r="G71" s="4">
        <f t="shared" si="4"/>
        <v>0</v>
      </c>
      <c r="H71" s="4">
        <f t="shared" si="5"/>
        <v>0</v>
      </c>
    </row>
    <row r="72" spans="1:8" ht="20" customHeight="1" x14ac:dyDescent="0.45">
      <c r="A72" s="2" t="s">
        <v>19</v>
      </c>
      <c r="B72" s="2" t="s">
        <v>36</v>
      </c>
      <c r="C72" s="6">
        <v>0</v>
      </c>
      <c r="D72" s="6">
        <v>0</v>
      </c>
      <c r="E72" s="5">
        <v>0</v>
      </c>
      <c r="F72" s="5">
        <v>0</v>
      </c>
      <c r="G72" s="4" t="str">
        <f t="shared" si="4"/>
        <v/>
      </c>
      <c r="H72" s="4" t="str">
        <f t="shared" si="5"/>
        <v/>
      </c>
    </row>
    <row r="73" spans="1:8" ht="20" customHeight="1" x14ac:dyDescent="0.45">
      <c r="A73" s="2" t="s">
        <v>19</v>
      </c>
      <c r="B73" s="2" t="s">
        <v>37</v>
      </c>
      <c r="C73" s="6">
        <v>3</v>
      </c>
      <c r="D73" s="6">
        <v>1</v>
      </c>
      <c r="E73" s="5">
        <v>76910</v>
      </c>
      <c r="F73" s="5">
        <v>38900</v>
      </c>
      <c r="G73" s="4">
        <f t="shared" si="4"/>
        <v>0.33333333333333331</v>
      </c>
      <c r="H73" s="4">
        <f t="shared" si="5"/>
        <v>0.50578598361721494</v>
      </c>
    </row>
    <row r="74" spans="1:8" ht="20" customHeight="1" x14ac:dyDescent="0.45">
      <c r="A74" s="2" t="s">
        <v>19</v>
      </c>
      <c r="B74" s="2" t="s">
        <v>38</v>
      </c>
      <c r="C74" s="6">
        <v>2</v>
      </c>
      <c r="D74" s="6">
        <v>1</v>
      </c>
      <c r="E74" s="5">
        <v>134394.35</v>
      </c>
      <c r="F74" s="5">
        <v>69385</v>
      </c>
      <c r="G74" s="4">
        <f t="shared" si="4"/>
        <v>0.5</v>
      </c>
      <c r="H74" s="4">
        <f t="shared" si="5"/>
        <v>0.51627914417533172</v>
      </c>
    </row>
    <row r="75" spans="1:8" ht="20" customHeight="1" x14ac:dyDescent="0.45">
      <c r="A75" s="2" t="s">
        <v>19</v>
      </c>
      <c r="B75" s="2" t="s">
        <v>39</v>
      </c>
      <c r="C75" s="6">
        <v>2</v>
      </c>
      <c r="D75" s="6">
        <v>0</v>
      </c>
      <c r="E75" s="5">
        <v>74580</v>
      </c>
      <c r="F75" s="5">
        <v>0</v>
      </c>
      <c r="G75" s="4">
        <f t="shared" si="4"/>
        <v>0</v>
      </c>
      <c r="H75" s="4">
        <f t="shared" si="5"/>
        <v>0</v>
      </c>
    </row>
    <row r="76" spans="1:8" ht="20" customHeight="1" x14ac:dyDescent="0.45">
      <c r="A76" s="2" t="s">
        <v>19</v>
      </c>
      <c r="B76" s="2" t="s">
        <v>40</v>
      </c>
      <c r="C76" s="6">
        <v>0</v>
      </c>
      <c r="D76" s="6">
        <v>0</v>
      </c>
      <c r="E76" s="5">
        <v>0</v>
      </c>
      <c r="F76" s="5">
        <v>0</v>
      </c>
      <c r="G76" s="4" t="str">
        <f t="shared" si="4"/>
        <v/>
      </c>
      <c r="H76" s="4" t="str">
        <f t="shared" si="5"/>
        <v/>
      </c>
    </row>
    <row r="77" spans="1:8" ht="20" customHeight="1" x14ac:dyDescent="0.45">
      <c r="A77" s="2" t="s">
        <v>19</v>
      </c>
      <c r="B77" s="2" t="s">
        <v>41</v>
      </c>
      <c r="C77" s="6">
        <v>0</v>
      </c>
      <c r="D77" s="6">
        <v>0</v>
      </c>
      <c r="E77" s="5">
        <v>0</v>
      </c>
      <c r="F77" s="5">
        <v>0</v>
      </c>
      <c r="G77" s="4" t="str">
        <f t="shared" si="4"/>
        <v/>
      </c>
      <c r="H77" s="4" t="str">
        <f t="shared" si="5"/>
        <v/>
      </c>
    </row>
    <row r="78" spans="1:8" ht="20" customHeight="1" x14ac:dyDescent="0.45">
      <c r="A78" s="7" t="s">
        <v>19</v>
      </c>
      <c r="B78" s="7" t="s">
        <v>42</v>
      </c>
      <c r="C78" s="8">
        <v>18</v>
      </c>
      <c r="D78" s="8">
        <v>2</v>
      </c>
      <c r="E78" s="9">
        <v>1020325.53</v>
      </c>
      <c r="F78" s="9">
        <v>108285</v>
      </c>
      <c r="G78" s="10">
        <f t="shared" si="4"/>
        <v>0.1111111111111111</v>
      </c>
      <c r="H78" s="10">
        <f t="shared" si="5"/>
        <v>0.10612789430055719</v>
      </c>
    </row>
    <row r="79" spans="1:8" ht="20" customHeight="1" x14ac:dyDescent="0.45">
      <c r="A79" s="2" t="s">
        <v>20</v>
      </c>
      <c r="B79" s="2" t="s">
        <v>32</v>
      </c>
      <c r="C79" s="6">
        <v>5</v>
      </c>
      <c r="D79" s="6">
        <v>0</v>
      </c>
      <c r="E79" s="5">
        <v>492017.6</v>
      </c>
      <c r="F79" s="5">
        <v>0</v>
      </c>
      <c r="G79" s="4">
        <f t="shared" si="4"/>
        <v>0</v>
      </c>
      <c r="H79" s="4">
        <f t="shared" si="5"/>
        <v>0</v>
      </c>
    </row>
    <row r="80" spans="1:8" ht="20" customHeight="1" x14ac:dyDescent="0.45">
      <c r="A80" s="2" t="s">
        <v>20</v>
      </c>
      <c r="B80" s="2" t="s">
        <v>33</v>
      </c>
      <c r="C80" s="6">
        <v>4</v>
      </c>
      <c r="D80" s="6">
        <v>0</v>
      </c>
      <c r="E80" s="5">
        <v>270787.25</v>
      </c>
      <c r="F80" s="5">
        <v>0</v>
      </c>
      <c r="G80" s="4">
        <f t="shared" si="4"/>
        <v>0</v>
      </c>
      <c r="H80" s="4">
        <f t="shared" si="5"/>
        <v>0</v>
      </c>
    </row>
    <row r="81" spans="1:8" ht="20" customHeight="1" x14ac:dyDescent="0.45">
      <c r="A81" s="2" t="s">
        <v>20</v>
      </c>
      <c r="B81" s="2" t="s">
        <v>34</v>
      </c>
      <c r="C81" s="6">
        <v>0</v>
      </c>
      <c r="D81" s="6">
        <v>0</v>
      </c>
      <c r="E81" s="5">
        <v>0</v>
      </c>
      <c r="F81" s="5">
        <v>0</v>
      </c>
      <c r="G81" s="4" t="str">
        <f t="shared" si="4"/>
        <v/>
      </c>
      <c r="H81" s="4" t="str">
        <f t="shared" si="5"/>
        <v/>
      </c>
    </row>
    <row r="82" spans="1:8" ht="20" customHeight="1" x14ac:dyDescent="0.45">
      <c r="A82" s="2" t="s">
        <v>20</v>
      </c>
      <c r="B82" s="2" t="s">
        <v>35</v>
      </c>
      <c r="C82" s="6">
        <v>0</v>
      </c>
      <c r="D82" s="6">
        <v>0</v>
      </c>
      <c r="E82" s="5">
        <v>0</v>
      </c>
      <c r="F82" s="5">
        <v>0</v>
      </c>
      <c r="G82" s="4" t="str">
        <f t="shared" si="4"/>
        <v/>
      </c>
      <c r="H82" s="4" t="str">
        <f t="shared" si="5"/>
        <v/>
      </c>
    </row>
    <row r="83" spans="1:8" ht="20" customHeight="1" x14ac:dyDescent="0.45">
      <c r="A83" s="2" t="s">
        <v>20</v>
      </c>
      <c r="B83" s="2" t="s">
        <v>36</v>
      </c>
      <c r="C83" s="6">
        <v>0</v>
      </c>
      <c r="D83" s="6">
        <v>0</v>
      </c>
      <c r="E83" s="5">
        <v>0</v>
      </c>
      <c r="F83" s="5">
        <v>0</v>
      </c>
      <c r="G83" s="4" t="str">
        <f t="shared" si="4"/>
        <v/>
      </c>
      <c r="H83" s="4" t="str">
        <f t="shared" si="5"/>
        <v/>
      </c>
    </row>
    <row r="84" spans="1:8" ht="20" customHeight="1" x14ac:dyDescent="0.45">
      <c r="A84" s="2" t="s">
        <v>20</v>
      </c>
      <c r="B84" s="2" t="s">
        <v>37</v>
      </c>
      <c r="C84" s="6">
        <v>3</v>
      </c>
      <c r="D84" s="6">
        <v>0</v>
      </c>
      <c r="E84" s="5">
        <v>276495</v>
      </c>
      <c r="F84" s="5">
        <v>0</v>
      </c>
      <c r="G84" s="4">
        <f t="shared" si="4"/>
        <v>0</v>
      </c>
      <c r="H84" s="4">
        <f t="shared" si="5"/>
        <v>0</v>
      </c>
    </row>
    <row r="85" spans="1:8" ht="20" customHeight="1" x14ac:dyDescent="0.45">
      <c r="A85" s="2" t="s">
        <v>20</v>
      </c>
      <c r="B85" s="2" t="s">
        <v>38</v>
      </c>
      <c r="C85" s="6">
        <v>2</v>
      </c>
      <c r="D85" s="6">
        <v>1</v>
      </c>
      <c r="E85" s="5">
        <v>33685</v>
      </c>
      <c r="F85" s="5">
        <v>52315</v>
      </c>
      <c r="G85" s="4">
        <f t="shared" si="4"/>
        <v>0.5</v>
      </c>
      <c r="H85" s="4">
        <f t="shared" si="5"/>
        <v>1.5530651625352532</v>
      </c>
    </row>
    <row r="86" spans="1:8" ht="20" customHeight="1" x14ac:dyDescent="0.45">
      <c r="A86" s="2" t="s">
        <v>20</v>
      </c>
      <c r="B86" s="2" t="s">
        <v>39</v>
      </c>
      <c r="C86" s="6">
        <v>3</v>
      </c>
      <c r="D86" s="6">
        <v>0</v>
      </c>
      <c r="E86" s="5">
        <v>379515</v>
      </c>
      <c r="F86" s="5">
        <v>0</v>
      </c>
      <c r="G86" s="4">
        <f t="shared" si="4"/>
        <v>0</v>
      </c>
      <c r="H86" s="4">
        <f t="shared" si="5"/>
        <v>0</v>
      </c>
    </row>
    <row r="87" spans="1:8" ht="20" customHeight="1" x14ac:dyDescent="0.45">
      <c r="A87" s="2" t="s">
        <v>20</v>
      </c>
      <c r="B87" s="2" t="s">
        <v>40</v>
      </c>
      <c r="C87" s="6">
        <v>0</v>
      </c>
      <c r="D87" s="6">
        <v>0</v>
      </c>
      <c r="E87" s="5">
        <v>0</v>
      </c>
      <c r="F87" s="5">
        <v>0</v>
      </c>
      <c r="G87" s="4" t="str">
        <f t="shared" si="4"/>
        <v/>
      </c>
      <c r="H87" s="4" t="str">
        <f t="shared" si="5"/>
        <v/>
      </c>
    </row>
    <row r="88" spans="1:8" ht="20" customHeight="1" x14ac:dyDescent="0.45">
      <c r="A88" s="2" t="s">
        <v>20</v>
      </c>
      <c r="B88" s="2" t="s">
        <v>41</v>
      </c>
      <c r="C88" s="6">
        <v>0</v>
      </c>
      <c r="D88" s="6">
        <v>0</v>
      </c>
      <c r="E88" s="5">
        <v>0</v>
      </c>
      <c r="F88" s="5">
        <v>0</v>
      </c>
      <c r="G88" s="4" t="str">
        <f t="shared" si="4"/>
        <v/>
      </c>
      <c r="H88" s="4" t="str">
        <f t="shared" si="5"/>
        <v/>
      </c>
    </row>
    <row r="89" spans="1:8" ht="20" customHeight="1" x14ac:dyDescent="0.45">
      <c r="A89" s="7" t="s">
        <v>20</v>
      </c>
      <c r="B89" s="7" t="s">
        <v>42</v>
      </c>
      <c r="C89" s="8">
        <v>17</v>
      </c>
      <c r="D89" s="8">
        <v>1</v>
      </c>
      <c r="E89" s="9">
        <v>1452499.85</v>
      </c>
      <c r="F89" s="9">
        <v>52315</v>
      </c>
      <c r="G89" s="10">
        <f t="shared" si="4"/>
        <v>5.8823529411764705E-2</v>
      </c>
      <c r="H89" s="10">
        <f t="shared" si="5"/>
        <v>3.6017215423464588E-2</v>
      </c>
    </row>
    <row r="90" spans="1:8" ht="20" customHeight="1" x14ac:dyDescent="0.45">
      <c r="A90" s="2" t="s">
        <v>21</v>
      </c>
      <c r="B90" s="2" t="s">
        <v>32</v>
      </c>
      <c r="C90" s="6">
        <v>2</v>
      </c>
      <c r="D90" s="6">
        <v>0</v>
      </c>
      <c r="E90" s="5">
        <v>274500</v>
      </c>
      <c r="F90" s="5">
        <v>0</v>
      </c>
      <c r="G90" s="4">
        <f t="shared" si="4"/>
        <v>0</v>
      </c>
      <c r="H90" s="4">
        <f t="shared" si="5"/>
        <v>0</v>
      </c>
    </row>
    <row r="91" spans="1:8" ht="20" customHeight="1" x14ac:dyDescent="0.45">
      <c r="A91" s="2" t="s">
        <v>21</v>
      </c>
      <c r="B91" s="2" t="s">
        <v>33</v>
      </c>
      <c r="C91" s="6">
        <v>2</v>
      </c>
      <c r="D91" s="6">
        <v>0</v>
      </c>
      <c r="E91" s="5">
        <v>38632.5</v>
      </c>
      <c r="F91" s="5">
        <v>0</v>
      </c>
      <c r="G91" s="4">
        <f t="shared" si="4"/>
        <v>0</v>
      </c>
      <c r="H91" s="4">
        <f t="shared" si="5"/>
        <v>0</v>
      </c>
    </row>
    <row r="92" spans="1:8" ht="20" customHeight="1" x14ac:dyDescent="0.45">
      <c r="A92" s="2" t="s">
        <v>21</v>
      </c>
      <c r="B92" s="2" t="s">
        <v>34</v>
      </c>
      <c r="C92" s="6">
        <v>0</v>
      </c>
      <c r="D92" s="6">
        <v>0</v>
      </c>
      <c r="E92" s="5">
        <v>0</v>
      </c>
      <c r="F92" s="5">
        <v>0</v>
      </c>
      <c r="G92" s="4" t="str">
        <f t="shared" si="4"/>
        <v/>
      </c>
      <c r="H92" s="4" t="str">
        <f t="shared" si="5"/>
        <v/>
      </c>
    </row>
    <row r="93" spans="1:8" ht="20" customHeight="1" x14ac:dyDescent="0.45">
      <c r="A93" s="2" t="s">
        <v>21</v>
      </c>
      <c r="B93" s="2" t="s">
        <v>35</v>
      </c>
      <c r="C93" s="6">
        <v>0</v>
      </c>
      <c r="D93" s="6">
        <v>0</v>
      </c>
      <c r="E93" s="5">
        <v>0</v>
      </c>
      <c r="F93" s="5">
        <v>0</v>
      </c>
      <c r="G93" s="4" t="str">
        <f t="shared" si="4"/>
        <v/>
      </c>
      <c r="H93" s="4" t="str">
        <f t="shared" si="5"/>
        <v/>
      </c>
    </row>
    <row r="94" spans="1:8" ht="20" customHeight="1" x14ac:dyDescent="0.45">
      <c r="A94" s="2" t="s">
        <v>21</v>
      </c>
      <c r="B94" s="2" t="s">
        <v>36</v>
      </c>
      <c r="C94" s="6">
        <v>0</v>
      </c>
      <c r="D94" s="6">
        <v>0</v>
      </c>
      <c r="E94" s="5">
        <v>0</v>
      </c>
      <c r="F94" s="5">
        <v>0</v>
      </c>
      <c r="G94" s="4" t="str">
        <f t="shared" si="4"/>
        <v/>
      </c>
      <c r="H94" s="4" t="str">
        <f t="shared" si="5"/>
        <v/>
      </c>
    </row>
    <row r="95" spans="1:8" ht="20" customHeight="1" x14ac:dyDescent="0.45">
      <c r="A95" s="2" t="s">
        <v>21</v>
      </c>
      <c r="B95" s="2" t="s">
        <v>37</v>
      </c>
      <c r="C95" s="6">
        <v>2</v>
      </c>
      <c r="D95" s="6">
        <v>0</v>
      </c>
      <c r="E95" s="5">
        <v>121555</v>
      </c>
      <c r="F95" s="5">
        <v>0</v>
      </c>
      <c r="G95" s="4">
        <f t="shared" si="4"/>
        <v>0</v>
      </c>
      <c r="H95" s="4">
        <f t="shared" si="5"/>
        <v>0</v>
      </c>
    </row>
    <row r="96" spans="1:8" ht="20" customHeight="1" x14ac:dyDescent="0.45">
      <c r="A96" s="2" t="s">
        <v>21</v>
      </c>
      <c r="B96" s="2" t="s">
        <v>38</v>
      </c>
      <c r="C96" s="6">
        <v>2</v>
      </c>
      <c r="D96" s="6">
        <v>0</v>
      </c>
      <c r="E96" s="5">
        <v>181410</v>
      </c>
      <c r="F96" s="5">
        <v>0</v>
      </c>
      <c r="G96" s="4">
        <f t="shared" si="4"/>
        <v>0</v>
      </c>
      <c r="H96" s="4">
        <f t="shared" si="5"/>
        <v>0</v>
      </c>
    </row>
    <row r="97" spans="1:8" ht="20" customHeight="1" x14ac:dyDescent="0.45">
      <c r="A97" s="2" t="s">
        <v>21</v>
      </c>
      <c r="B97" s="2" t="s">
        <v>39</v>
      </c>
      <c r="C97" s="6">
        <v>2</v>
      </c>
      <c r="D97" s="6">
        <v>0</v>
      </c>
      <c r="E97" s="5">
        <v>139642.13</v>
      </c>
      <c r="F97" s="5">
        <v>0</v>
      </c>
      <c r="G97" s="4">
        <f t="shared" si="4"/>
        <v>0</v>
      </c>
      <c r="H97" s="4">
        <f t="shared" si="5"/>
        <v>0</v>
      </c>
    </row>
    <row r="98" spans="1:8" ht="20" customHeight="1" x14ac:dyDescent="0.45">
      <c r="A98" s="2" t="s">
        <v>21</v>
      </c>
      <c r="B98" s="2" t="s">
        <v>40</v>
      </c>
      <c r="C98" s="6">
        <v>0</v>
      </c>
      <c r="D98" s="6">
        <v>0</v>
      </c>
      <c r="E98" s="5">
        <v>0</v>
      </c>
      <c r="F98" s="5">
        <v>0</v>
      </c>
      <c r="G98" s="4" t="str">
        <f t="shared" ref="G98:G133" si="6">IFERROR(D98/C98,"")</f>
        <v/>
      </c>
      <c r="H98" s="4" t="str">
        <f t="shared" ref="H98:H133" si="7">IFERROR(F98/E98,"")</f>
        <v/>
      </c>
    </row>
    <row r="99" spans="1:8" ht="20" customHeight="1" x14ac:dyDescent="0.45">
      <c r="A99" s="2" t="s">
        <v>21</v>
      </c>
      <c r="B99" s="2" t="s">
        <v>41</v>
      </c>
      <c r="C99" s="6">
        <v>1</v>
      </c>
      <c r="D99" s="6">
        <v>0</v>
      </c>
      <c r="E99" s="5">
        <v>0</v>
      </c>
      <c r="F99" s="5">
        <v>0</v>
      </c>
      <c r="G99" s="4">
        <f t="shared" si="6"/>
        <v>0</v>
      </c>
      <c r="H99" s="4" t="str">
        <f t="shared" si="7"/>
        <v/>
      </c>
    </row>
    <row r="100" spans="1:8" ht="20" customHeight="1" x14ac:dyDescent="0.45">
      <c r="A100" s="7" t="s">
        <v>21</v>
      </c>
      <c r="B100" s="7" t="s">
        <v>42</v>
      </c>
      <c r="C100" s="8">
        <v>11</v>
      </c>
      <c r="D100" s="8">
        <v>0</v>
      </c>
      <c r="E100" s="9">
        <v>755739.63</v>
      </c>
      <c r="F100" s="9">
        <v>0</v>
      </c>
      <c r="G100" s="10">
        <f t="shared" si="6"/>
        <v>0</v>
      </c>
      <c r="H100" s="10">
        <f t="shared" si="7"/>
        <v>0</v>
      </c>
    </row>
    <row r="101" spans="1:8" ht="20" customHeight="1" x14ac:dyDescent="0.45">
      <c r="A101" s="2" t="s">
        <v>22</v>
      </c>
      <c r="B101" s="2" t="s">
        <v>32</v>
      </c>
      <c r="C101" s="6">
        <v>5</v>
      </c>
      <c r="D101" s="6">
        <v>1</v>
      </c>
      <c r="E101" s="5">
        <v>1135125</v>
      </c>
      <c r="F101" s="5">
        <v>82020</v>
      </c>
      <c r="G101" s="4">
        <f t="shared" si="6"/>
        <v>0.2</v>
      </c>
      <c r="H101" s="4">
        <f t="shared" si="7"/>
        <v>7.2256359431780645E-2</v>
      </c>
    </row>
    <row r="102" spans="1:8" ht="20" customHeight="1" x14ac:dyDescent="0.45">
      <c r="A102" s="2" t="s">
        <v>22</v>
      </c>
      <c r="B102" s="2" t="s">
        <v>33</v>
      </c>
      <c r="C102" s="6">
        <v>1</v>
      </c>
      <c r="D102" s="6">
        <v>0</v>
      </c>
      <c r="E102" s="5">
        <v>0</v>
      </c>
      <c r="F102" s="5">
        <v>0</v>
      </c>
      <c r="G102" s="4">
        <f t="shared" si="6"/>
        <v>0</v>
      </c>
      <c r="H102" s="4" t="str">
        <f t="shared" si="7"/>
        <v/>
      </c>
    </row>
    <row r="103" spans="1:8" ht="20" customHeight="1" x14ac:dyDescent="0.45">
      <c r="A103" s="2" t="s">
        <v>22</v>
      </c>
      <c r="B103" s="2" t="s">
        <v>34</v>
      </c>
      <c r="C103" s="6">
        <v>0</v>
      </c>
      <c r="D103" s="6">
        <v>0</v>
      </c>
      <c r="E103" s="5">
        <v>0</v>
      </c>
      <c r="F103" s="5">
        <v>0</v>
      </c>
      <c r="G103" s="4" t="str">
        <f t="shared" si="6"/>
        <v/>
      </c>
      <c r="H103" s="4" t="str">
        <f t="shared" si="7"/>
        <v/>
      </c>
    </row>
    <row r="104" spans="1:8" ht="20" customHeight="1" x14ac:dyDescent="0.45">
      <c r="A104" s="2" t="s">
        <v>22</v>
      </c>
      <c r="B104" s="2" t="s">
        <v>35</v>
      </c>
      <c r="C104" s="6">
        <v>1</v>
      </c>
      <c r="D104" s="6">
        <v>0</v>
      </c>
      <c r="E104" s="5">
        <v>333853.75</v>
      </c>
      <c r="F104" s="5">
        <v>0</v>
      </c>
      <c r="G104" s="4">
        <f t="shared" si="6"/>
        <v>0</v>
      </c>
      <c r="H104" s="4">
        <f t="shared" si="7"/>
        <v>0</v>
      </c>
    </row>
    <row r="105" spans="1:8" ht="20" customHeight="1" x14ac:dyDescent="0.45">
      <c r="A105" s="2" t="s">
        <v>22</v>
      </c>
      <c r="B105" s="2" t="s">
        <v>36</v>
      </c>
      <c r="C105" s="6">
        <v>0</v>
      </c>
      <c r="D105" s="6">
        <v>0</v>
      </c>
      <c r="E105" s="5">
        <v>0</v>
      </c>
      <c r="F105" s="5">
        <v>0</v>
      </c>
      <c r="G105" s="4" t="str">
        <f t="shared" si="6"/>
        <v/>
      </c>
      <c r="H105" s="4" t="str">
        <f t="shared" si="7"/>
        <v/>
      </c>
    </row>
    <row r="106" spans="1:8" ht="20" customHeight="1" x14ac:dyDescent="0.45">
      <c r="A106" s="2" t="s">
        <v>22</v>
      </c>
      <c r="B106" s="2" t="s">
        <v>37</v>
      </c>
      <c r="C106" s="6">
        <v>3</v>
      </c>
      <c r="D106" s="6">
        <v>1</v>
      </c>
      <c r="E106" s="5">
        <v>262750</v>
      </c>
      <c r="F106" s="5">
        <v>163359</v>
      </c>
      <c r="G106" s="4">
        <f t="shared" si="6"/>
        <v>0.33333333333333331</v>
      </c>
      <c r="H106" s="4">
        <f t="shared" si="7"/>
        <v>0.62172787821122744</v>
      </c>
    </row>
    <row r="107" spans="1:8" ht="20" customHeight="1" x14ac:dyDescent="0.45">
      <c r="A107" s="2" t="s">
        <v>22</v>
      </c>
      <c r="B107" s="2" t="s">
        <v>38</v>
      </c>
      <c r="C107" s="6">
        <v>1</v>
      </c>
      <c r="D107" s="6">
        <v>0</v>
      </c>
      <c r="E107" s="5">
        <v>121930</v>
      </c>
      <c r="F107" s="5">
        <v>0</v>
      </c>
      <c r="G107" s="4">
        <f t="shared" si="6"/>
        <v>0</v>
      </c>
      <c r="H107" s="4">
        <f t="shared" si="7"/>
        <v>0</v>
      </c>
    </row>
    <row r="108" spans="1:8" ht="20" customHeight="1" x14ac:dyDescent="0.45">
      <c r="A108" s="2" t="s">
        <v>22</v>
      </c>
      <c r="B108" s="2" t="s">
        <v>39</v>
      </c>
      <c r="C108" s="6">
        <v>5</v>
      </c>
      <c r="D108" s="6">
        <v>0</v>
      </c>
      <c r="E108" s="5">
        <v>329486.37</v>
      </c>
      <c r="F108" s="5">
        <v>0</v>
      </c>
      <c r="G108" s="4">
        <f t="shared" si="6"/>
        <v>0</v>
      </c>
      <c r="H108" s="4">
        <f t="shared" si="7"/>
        <v>0</v>
      </c>
    </row>
    <row r="109" spans="1:8" ht="20" customHeight="1" x14ac:dyDescent="0.45">
      <c r="A109" s="2" t="s">
        <v>22</v>
      </c>
      <c r="B109" s="2" t="s">
        <v>40</v>
      </c>
      <c r="C109" s="6">
        <v>0</v>
      </c>
      <c r="D109" s="6">
        <v>0</v>
      </c>
      <c r="E109" s="5">
        <v>0</v>
      </c>
      <c r="F109" s="5">
        <v>0</v>
      </c>
      <c r="G109" s="4" t="str">
        <f t="shared" si="6"/>
        <v/>
      </c>
      <c r="H109" s="4" t="str">
        <f t="shared" si="7"/>
        <v/>
      </c>
    </row>
    <row r="110" spans="1:8" ht="20" customHeight="1" x14ac:dyDescent="0.45">
      <c r="A110" s="2" t="s">
        <v>22</v>
      </c>
      <c r="B110" s="2" t="s">
        <v>41</v>
      </c>
      <c r="C110" s="6">
        <v>0</v>
      </c>
      <c r="D110" s="6">
        <v>0</v>
      </c>
      <c r="E110" s="5">
        <v>0</v>
      </c>
      <c r="F110" s="5">
        <v>0</v>
      </c>
      <c r="G110" s="4" t="str">
        <f t="shared" si="6"/>
        <v/>
      </c>
      <c r="H110" s="4" t="str">
        <f t="shared" si="7"/>
        <v/>
      </c>
    </row>
    <row r="111" spans="1:8" ht="20" customHeight="1" x14ac:dyDescent="0.45">
      <c r="A111" s="7" t="s">
        <v>22</v>
      </c>
      <c r="B111" s="7" t="s">
        <v>42</v>
      </c>
      <c r="C111" s="8">
        <v>16</v>
      </c>
      <c r="D111" s="8">
        <v>2</v>
      </c>
      <c r="E111" s="9">
        <v>2183145.12</v>
      </c>
      <c r="F111" s="9">
        <v>245379</v>
      </c>
      <c r="G111" s="10">
        <f t="shared" si="6"/>
        <v>0.125</v>
      </c>
      <c r="H111" s="10">
        <f t="shared" si="7"/>
        <v>0.11239701738196863</v>
      </c>
    </row>
    <row r="112" spans="1:8" ht="20" customHeight="1" x14ac:dyDescent="0.45">
      <c r="A112" s="2" t="s">
        <v>23</v>
      </c>
      <c r="B112" s="2" t="s">
        <v>32</v>
      </c>
      <c r="C112" s="6">
        <v>5</v>
      </c>
      <c r="D112" s="6">
        <v>0</v>
      </c>
      <c r="E112" s="5">
        <v>210185</v>
      </c>
      <c r="F112" s="5">
        <v>0</v>
      </c>
      <c r="G112" s="4">
        <f t="shared" si="6"/>
        <v>0</v>
      </c>
      <c r="H112" s="4">
        <f t="shared" si="7"/>
        <v>0</v>
      </c>
    </row>
    <row r="113" spans="1:8" ht="20" customHeight="1" x14ac:dyDescent="0.45">
      <c r="A113" s="2" t="s">
        <v>23</v>
      </c>
      <c r="B113" s="2" t="s">
        <v>33</v>
      </c>
      <c r="C113" s="6">
        <v>1</v>
      </c>
      <c r="D113" s="6">
        <v>0</v>
      </c>
      <c r="E113" s="5">
        <v>0</v>
      </c>
      <c r="F113" s="5">
        <v>0</v>
      </c>
      <c r="G113" s="4">
        <f t="shared" si="6"/>
        <v>0</v>
      </c>
      <c r="H113" s="4" t="str">
        <f t="shared" si="7"/>
        <v/>
      </c>
    </row>
    <row r="114" spans="1:8" ht="20" customHeight="1" x14ac:dyDescent="0.45">
      <c r="A114" s="2" t="s">
        <v>23</v>
      </c>
      <c r="B114" s="2" t="s">
        <v>34</v>
      </c>
      <c r="C114" s="6">
        <v>0</v>
      </c>
      <c r="D114" s="6">
        <v>0</v>
      </c>
      <c r="E114" s="5">
        <v>0</v>
      </c>
      <c r="F114" s="5">
        <v>0</v>
      </c>
      <c r="G114" s="4" t="str">
        <f t="shared" si="6"/>
        <v/>
      </c>
      <c r="H114" s="4" t="str">
        <f t="shared" si="7"/>
        <v/>
      </c>
    </row>
    <row r="115" spans="1:8" ht="20" customHeight="1" x14ac:dyDescent="0.45">
      <c r="A115" s="2" t="s">
        <v>23</v>
      </c>
      <c r="B115" s="2" t="s">
        <v>35</v>
      </c>
      <c r="C115" s="6">
        <v>2</v>
      </c>
      <c r="D115" s="6">
        <v>0</v>
      </c>
      <c r="E115" s="5">
        <v>337060.75</v>
      </c>
      <c r="F115" s="5">
        <v>0</v>
      </c>
      <c r="G115" s="4">
        <f t="shared" si="6"/>
        <v>0</v>
      </c>
      <c r="H115" s="4">
        <f t="shared" si="7"/>
        <v>0</v>
      </c>
    </row>
    <row r="116" spans="1:8" ht="20" customHeight="1" x14ac:dyDescent="0.45">
      <c r="A116" s="2" t="s">
        <v>23</v>
      </c>
      <c r="B116" s="2" t="s">
        <v>36</v>
      </c>
      <c r="C116" s="6">
        <v>0</v>
      </c>
      <c r="D116" s="6">
        <v>0</v>
      </c>
      <c r="E116" s="5">
        <v>0</v>
      </c>
      <c r="F116" s="5">
        <v>0</v>
      </c>
      <c r="G116" s="4" t="str">
        <f t="shared" si="6"/>
        <v/>
      </c>
      <c r="H116" s="4" t="str">
        <f t="shared" si="7"/>
        <v/>
      </c>
    </row>
    <row r="117" spans="1:8" ht="20" customHeight="1" x14ac:dyDescent="0.45">
      <c r="A117" s="2" t="s">
        <v>23</v>
      </c>
      <c r="B117" s="2" t="s">
        <v>37</v>
      </c>
      <c r="C117" s="6">
        <v>3</v>
      </c>
      <c r="D117" s="6">
        <v>1</v>
      </c>
      <c r="E117" s="5">
        <v>112728.26</v>
      </c>
      <c r="F117" s="5">
        <v>21400</v>
      </c>
      <c r="G117" s="4">
        <f t="shared" si="6"/>
        <v>0.33333333333333331</v>
      </c>
      <c r="H117" s="4">
        <f t="shared" si="7"/>
        <v>0.18983704707231355</v>
      </c>
    </row>
    <row r="118" spans="1:8" ht="20" customHeight="1" x14ac:dyDescent="0.45">
      <c r="A118" s="2" t="s">
        <v>23</v>
      </c>
      <c r="B118" s="2" t="s">
        <v>38</v>
      </c>
      <c r="C118" s="6">
        <v>6</v>
      </c>
      <c r="D118" s="6">
        <v>0</v>
      </c>
      <c r="E118" s="5">
        <v>178271.45</v>
      </c>
      <c r="F118" s="5">
        <v>0</v>
      </c>
      <c r="G118" s="4">
        <f t="shared" si="6"/>
        <v>0</v>
      </c>
      <c r="H118" s="4">
        <f t="shared" si="7"/>
        <v>0</v>
      </c>
    </row>
    <row r="119" spans="1:8" ht="20" customHeight="1" x14ac:dyDescent="0.45">
      <c r="A119" s="2" t="s">
        <v>23</v>
      </c>
      <c r="B119" s="2" t="s">
        <v>39</v>
      </c>
      <c r="C119" s="6">
        <v>4</v>
      </c>
      <c r="D119" s="6">
        <v>0</v>
      </c>
      <c r="E119" s="5">
        <v>292147.21999999997</v>
      </c>
      <c r="F119" s="5">
        <v>0</v>
      </c>
      <c r="G119" s="4">
        <f t="shared" si="6"/>
        <v>0</v>
      </c>
      <c r="H119" s="4">
        <f t="shared" si="7"/>
        <v>0</v>
      </c>
    </row>
    <row r="120" spans="1:8" ht="20" customHeight="1" x14ac:dyDescent="0.45">
      <c r="A120" s="2" t="s">
        <v>23</v>
      </c>
      <c r="B120" s="2" t="s">
        <v>40</v>
      </c>
      <c r="C120" s="6">
        <v>0</v>
      </c>
      <c r="D120" s="6">
        <v>0</v>
      </c>
      <c r="E120" s="5">
        <v>0</v>
      </c>
      <c r="F120" s="5">
        <v>0</v>
      </c>
      <c r="G120" s="4" t="str">
        <f t="shared" si="6"/>
        <v/>
      </c>
      <c r="H120" s="4" t="str">
        <f t="shared" si="7"/>
        <v/>
      </c>
    </row>
    <row r="121" spans="1:8" ht="20" customHeight="1" x14ac:dyDescent="0.45">
      <c r="A121" s="2" t="s">
        <v>23</v>
      </c>
      <c r="B121" s="2" t="s">
        <v>41</v>
      </c>
      <c r="C121" s="6">
        <v>0</v>
      </c>
      <c r="D121" s="6">
        <v>0</v>
      </c>
      <c r="E121" s="5">
        <v>0</v>
      </c>
      <c r="F121" s="5">
        <v>0</v>
      </c>
      <c r="G121" s="4" t="str">
        <f t="shared" si="6"/>
        <v/>
      </c>
      <c r="H121" s="4" t="str">
        <f t="shared" si="7"/>
        <v/>
      </c>
    </row>
    <row r="122" spans="1:8" ht="20" customHeight="1" x14ac:dyDescent="0.45">
      <c r="A122" s="7" t="s">
        <v>23</v>
      </c>
      <c r="B122" s="7" t="s">
        <v>42</v>
      </c>
      <c r="C122" s="8">
        <v>21</v>
      </c>
      <c r="D122" s="8">
        <v>1</v>
      </c>
      <c r="E122" s="9">
        <v>1130392.68</v>
      </c>
      <c r="F122" s="9">
        <v>21400</v>
      </c>
      <c r="G122" s="10">
        <f t="shared" si="6"/>
        <v>4.7619047619047616E-2</v>
      </c>
      <c r="H122" s="10">
        <f t="shared" si="7"/>
        <v>1.8931474326249177E-2</v>
      </c>
    </row>
    <row r="123" spans="1:8" ht="20" customHeight="1" x14ac:dyDescent="0.45">
      <c r="A123" s="2" t="s">
        <v>24</v>
      </c>
      <c r="B123" s="2" t="s">
        <v>32</v>
      </c>
      <c r="C123" s="6">
        <v>5</v>
      </c>
      <c r="D123" s="6">
        <v>1</v>
      </c>
      <c r="E123" s="5">
        <v>180547.5</v>
      </c>
      <c r="F123" s="5">
        <v>87540</v>
      </c>
      <c r="G123" s="4">
        <f t="shared" si="6"/>
        <v>0.2</v>
      </c>
      <c r="H123" s="4">
        <f t="shared" si="7"/>
        <v>0.48485855522784865</v>
      </c>
    </row>
    <row r="124" spans="1:8" ht="20" customHeight="1" x14ac:dyDescent="0.45">
      <c r="A124" s="2" t="s">
        <v>24</v>
      </c>
      <c r="B124" s="2" t="s">
        <v>33</v>
      </c>
      <c r="C124" s="6">
        <v>0</v>
      </c>
      <c r="D124" s="6">
        <v>0</v>
      </c>
      <c r="E124" s="5">
        <v>0</v>
      </c>
      <c r="F124" s="5">
        <v>0</v>
      </c>
      <c r="G124" s="4" t="str">
        <f t="shared" si="6"/>
        <v/>
      </c>
      <c r="H124" s="4" t="str">
        <f t="shared" si="7"/>
        <v/>
      </c>
    </row>
    <row r="125" spans="1:8" ht="20" customHeight="1" x14ac:dyDescent="0.45">
      <c r="A125" s="2" t="s">
        <v>24</v>
      </c>
      <c r="B125" s="2" t="s">
        <v>34</v>
      </c>
      <c r="C125" s="6">
        <v>1</v>
      </c>
      <c r="D125" s="6">
        <v>0</v>
      </c>
      <c r="E125" s="5">
        <v>166250</v>
      </c>
      <c r="F125" s="5">
        <v>0</v>
      </c>
      <c r="G125" s="4">
        <f t="shared" si="6"/>
        <v>0</v>
      </c>
      <c r="H125" s="4">
        <f t="shared" si="7"/>
        <v>0</v>
      </c>
    </row>
    <row r="126" spans="1:8" ht="20" customHeight="1" x14ac:dyDescent="0.45">
      <c r="A126" s="2" t="s">
        <v>24</v>
      </c>
      <c r="B126" s="2" t="s">
        <v>35</v>
      </c>
      <c r="C126" s="6">
        <v>0</v>
      </c>
      <c r="D126" s="6">
        <v>0</v>
      </c>
      <c r="E126" s="5">
        <v>0</v>
      </c>
      <c r="F126" s="5">
        <v>0</v>
      </c>
      <c r="G126" s="4" t="str">
        <f t="shared" si="6"/>
        <v/>
      </c>
      <c r="H126" s="4" t="str">
        <f t="shared" si="7"/>
        <v/>
      </c>
    </row>
    <row r="127" spans="1:8" ht="20" customHeight="1" x14ac:dyDescent="0.45">
      <c r="A127" s="2" t="s">
        <v>24</v>
      </c>
      <c r="B127" s="2" t="s">
        <v>36</v>
      </c>
      <c r="C127" s="6">
        <v>0</v>
      </c>
      <c r="D127" s="6">
        <v>0</v>
      </c>
      <c r="E127" s="5">
        <v>0</v>
      </c>
      <c r="F127" s="5">
        <v>0</v>
      </c>
      <c r="G127" s="4" t="str">
        <f t="shared" si="6"/>
        <v/>
      </c>
      <c r="H127" s="4" t="str">
        <f t="shared" si="7"/>
        <v/>
      </c>
    </row>
    <row r="128" spans="1:8" ht="20" customHeight="1" x14ac:dyDescent="0.45">
      <c r="A128" s="2" t="s">
        <v>24</v>
      </c>
      <c r="B128" s="2" t="s">
        <v>37</v>
      </c>
      <c r="C128" s="6">
        <v>0</v>
      </c>
      <c r="D128" s="6">
        <v>0</v>
      </c>
      <c r="E128" s="5">
        <v>0</v>
      </c>
      <c r="F128" s="5">
        <v>0</v>
      </c>
      <c r="G128" s="4" t="str">
        <f t="shared" si="6"/>
        <v/>
      </c>
      <c r="H128" s="4" t="str">
        <f t="shared" si="7"/>
        <v/>
      </c>
    </row>
    <row r="129" spans="1:8" ht="20" customHeight="1" x14ac:dyDescent="0.45">
      <c r="A129" s="2" t="s">
        <v>24</v>
      </c>
      <c r="B129" s="2" t="s">
        <v>38</v>
      </c>
      <c r="C129" s="6">
        <v>6</v>
      </c>
      <c r="D129" s="6">
        <v>1</v>
      </c>
      <c r="E129" s="5">
        <v>67515</v>
      </c>
      <c r="F129" s="5">
        <v>26900</v>
      </c>
      <c r="G129" s="4">
        <f t="shared" si="6"/>
        <v>0.16666666666666666</v>
      </c>
      <c r="H129" s="4">
        <f t="shared" si="7"/>
        <v>0.3984299785232911</v>
      </c>
    </row>
    <row r="130" spans="1:8" ht="20" customHeight="1" x14ac:dyDescent="0.45">
      <c r="A130" s="2" t="s">
        <v>24</v>
      </c>
      <c r="B130" s="2" t="s">
        <v>39</v>
      </c>
      <c r="C130" s="6">
        <v>2</v>
      </c>
      <c r="D130" s="6">
        <v>0</v>
      </c>
      <c r="E130" s="5">
        <v>321645</v>
      </c>
      <c r="F130" s="5">
        <v>0</v>
      </c>
      <c r="G130" s="4">
        <f t="shared" si="6"/>
        <v>0</v>
      </c>
      <c r="H130" s="4">
        <f t="shared" si="7"/>
        <v>0</v>
      </c>
    </row>
    <row r="131" spans="1:8" ht="20" customHeight="1" x14ac:dyDescent="0.45">
      <c r="A131" s="2" t="s">
        <v>24</v>
      </c>
      <c r="B131" s="2" t="s">
        <v>40</v>
      </c>
      <c r="C131" s="6">
        <v>0</v>
      </c>
      <c r="D131" s="6">
        <v>0</v>
      </c>
      <c r="E131" s="5">
        <v>0</v>
      </c>
      <c r="F131" s="5">
        <v>0</v>
      </c>
      <c r="G131" s="4" t="str">
        <f t="shared" si="6"/>
        <v/>
      </c>
      <c r="H131" s="4" t="str">
        <f t="shared" si="7"/>
        <v/>
      </c>
    </row>
    <row r="132" spans="1:8" ht="20" customHeight="1" x14ac:dyDescent="0.45">
      <c r="A132" s="2" t="s">
        <v>24</v>
      </c>
      <c r="B132" s="2" t="s">
        <v>41</v>
      </c>
      <c r="C132" s="6">
        <v>0</v>
      </c>
      <c r="D132" s="6">
        <v>0</v>
      </c>
      <c r="E132" s="5">
        <v>0</v>
      </c>
      <c r="F132" s="5">
        <v>0</v>
      </c>
      <c r="G132" s="4" t="str">
        <f t="shared" si="6"/>
        <v/>
      </c>
      <c r="H132" s="4" t="str">
        <f t="shared" si="7"/>
        <v/>
      </c>
    </row>
    <row r="133" spans="1:8" ht="20" customHeight="1" x14ac:dyDescent="0.45">
      <c r="A133" s="7" t="s">
        <v>24</v>
      </c>
      <c r="B133" s="7" t="s">
        <v>42</v>
      </c>
      <c r="C133" s="8">
        <v>14</v>
      </c>
      <c r="D133" s="8">
        <v>2</v>
      </c>
      <c r="E133" s="9">
        <v>735957.5</v>
      </c>
      <c r="F133" s="9">
        <v>114440</v>
      </c>
      <c r="G133" s="10">
        <f t="shared" si="6"/>
        <v>0.14285714285714285</v>
      </c>
      <c r="H133" s="10">
        <f t="shared" si="7"/>
        <v>0.15549810960551391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44C3E-56BD-4971-BB49-D8E5A24CFE90}">
  <dimension ref="A1:I241"/>
  <sheetViews>
    <sheetView zoomScale="70" zoomScaleNormal="70" workbookViewId="0">
      <selection sqref="A1:I241"/>
    </sheetView>
  </sheetViews>
  <sheetFormatPr defaultRowHeight="14.25" x14ac:dyDescent="0.45"/>
  <cols>
    <col min="1" max="9" width="25.59765625" customWidth="1"/>
  </cols>
  <sheetData>
    <row r="1" spans="1:9" ht="35.25" customHeight="1" x14ac:dyDescent="0.45">
      <c r="A1" s="3" t="s">
        <v>25</v>
      </c>
      <c r="B1" s="3" t="s">
        <v>59</v>
      </c>
      <c r="C1" s="3" t="s">
        <v>12</v>
      </c>
      <c r="D1" s="3" t="s">
        <v>26</v>
      </c>
      <c r="E1" s="3" t="s">
        <v>27</v>
      </c>
      <c r="F1" s="3" t="s">
        <v>28</v>
      </c>
      <c r="G1" s="3" t="s">
        <v>29</v>
      </c>
      <c r="H1" s="3" t="s">
        <v>30</v>
      </c>
      <c r="I1" s="3" t="s">
        <v>31</v>
      </c>
    </row>
    <row r="2" spans="1:9" x14ac:dyDescent="0.45">
      <c r="A2" s="2" t="s">
        <v>13</v>
      </c>
      <c r="B2" s="2" t="s">
        <v>46</v>
      </c>
      <c r="C2" s="2" t="s">
        <v>32</v>
      </c>
      <c r="D2" s="6">
        <v>22</v>
      </c>
      <c r="E2" s="6">
        <v>6</v>
      </c>
      <c r="F2" s="5">
        <v>1693097.68</v>
      </c>
      <c r="G2" s="5">
        <v>941761.6</v>
      </c>
      <c r="H2" s="4">
        <f>IFERROR(E2/D2,"")</f>
        <v>0.27272727272727271</v>
      </c>
      <c r="I2" s="4">
        <f>IFERROR(G2/F2,"")</f>
        <v>0.55623583395377396</v>
      </c>
    </row>
    <row r="3" spans="1:9" x14ac:dyDescent="0.45">
      <c r="A3" s="2" t="s">
        <v>13</v>
      </c>
      <c r="B3" s="2" t="s">
        <v>46</v>
      </c>
      <c r="C3" s="2" t="s">
        <v>33</v>
      </c>
      <c r="D3" s="6">
        <v>16</v>
      </c>
      <c r="E3" s="6">
        <v>4</v>
      </c>
      <c r="F3" s="5">
        <v>2296595.71</v>
      </c>
      <c r="G3" s="5">
        <v>620231.92000000004</v>
      </c>
      <c r="H3" s="4">
        <f>IFERROR(E3/D3,"")</f>
        <v>0.25</v>
      </c>
      <c r="I3" s="4">
        <f>IFERROR(G3/F3,"")</f>
        <v>0.27006578358539218</v>
      </c>
    </row>
    <row r="4" spans="1:9" x14ac:dyDescent="0.45">
      <c r="A4" s="2" t="s">
        <v>13</v>
      </c>
      <c r="B4" s="2" t="s">
        <v>46</v>
      </c>
      <c r="C4" s="2" t="s">
        <v>34</v>
      </c>
      <c r="D4" s="6">
        <v>1</v>
      </c>
      <c r="E4" s="6">
        <v>1</v>
      </c>
      <c r="F4" s="5">
        <v>52335</v>
      </c>
      <c r="G4" s="5">
        <v>66255</v>
      </c>
      <c r="H4" s="4">
        <f>IFERROR(E4/D4,"")</f>
        <v>1</v>
      </c>
      <c r="I4" s="4">
        <f>IFERROR(G4/F4,"")</f>
        <v>1.2659787904843796</v>
      </c>
    </row>
    <row r="5" spans="1:9" x14ac:dyDescent="0.45">
      <c r="A5" s="2" t="s">
        <v>13</v>
      </c>
      <c r="B5" s="2" t="s">
        <v>46</v>
      </c>
      <c r="C5" s="2" t="s">
        <v>35</v>
      </c>
      <c r="D5" s="6">
        <v>10</v>
      </c>
      <c r="E5" s="6">
        <v>4</v>
      </c>
      <c r="F5" s="5">
        <v>641080.21</v>
      </c>
      <c r="G5" s="5">
        <v>441014.09</v>
      </c>
      <c r="H5" s="4">
        <f>IFERROR(E5/D5,"")</f>
        <v>0.4</v>
      </c>
      <c r="I5" s="4">
        <f>IFERROR(G5/F5,"")</f>
        <v>0.68792341913034571</v>
      </c>
    </row>
    <row r="6" spans="1:9" x14ac:dyDescent="0.45">
      <c r="A6" s="2" t="s">
        <v>13</v>
      </c>
      <c r="B6" s="2" t="s">
        <v>46</v>
      </c>
      <c r="C6" s="2" t="s">
        <v>36</v>
      </c>
      <c r="D6" s="6">
        <v>0</v>
      </c>
      <c r="E6" s="6">
        <v>0</v>
      </c>
      <c r="F6" s="5">
        <v>0</v>
      </c>
      <c r="G6" s="5">
        <v>0</v>
      </c>
      <c r="H6" s="4" t="str">
        <f>IFERROR(E6/D6,"")</f>
        <v/>
      </c>
      <c r="I6" s="4" t="str">
        <f>IFERROR(G6/F6,"")</f>
        <v/>
      </c>
    </row>
    <row r="7" spans="1:9" x14ac:dyDescent="0.45">
      <c r="A7" s="2" t="s">
        <v>13</v>
      </c>
      <c r="B7" s="2" t="s">
        <v>46</v>
      </c>
      <c r="C7" s="2" t="s">
        <v>37</v>
      </c>
      <c r="D7" s="6">
        <v>6</v>
      </c>
      <c r="E7" s="6">
        <v>2</v>
      </c>
      <c r="F7" s="5">
        <v>242070</v>
      </c>
      <c r="G7" s="5">
        <v>106675</v>
      </c>
      <c r="H7" s="4">
        <f>IFERROR(E7/D7,"")</f>
        <v>0.33333333333333331</v>
      </c>
      <c r="I7" s="4">
        <f>IFERROR(G7/F7,"")</f>
        <v>0.44067831618953196</v>
      </c>
    </row>
    <row r="8" spans="1:9" x14ac:dyDescent="0.45">
      <c r="A8" s="2" t="s">
        <v>13</v>
      </c>
      <c r="B8" s="2" t="s">
        <v>46</v>
      </c>
      <c r="C8" s="2" t="s">
        <v>38</v>
      </c>
      <c r="D8" s="6">
        <v>3</v>
      </c>
      <c r="E8" s="6">
        <v>2</v>
      </c>
      <c r="F8" s="5">
        <v>150075</v>
      </c>
      <c r="G8" s="5">
        <v>111565</v>
      </c>
      <c r="H8" s="4">
        <f>IFERROR(E8/D8,"")</f>
        <v>0.66666666666666663</v>
      </c>
      <c r="I8" s="4">
        <f>IFERROR(G8/F8,"")</f>
        <v>0.74339496918207559</v>
      </c>
    </row>
    <row r="9" spans="1:9" x14ac:dyDescent="0.45">
      <c r="A9" s="2" t="s">
        <v>13</v>
      </c>
      <c r="B9" s="2" t="s">
        <v>46</v>
      </c>
      <c r="C9" s="2" t="s">
        <v>39</v>
      </c>
      <c r="D9" s="6">
        <v>9</v>
      </c>
      <c r="E9" s="6">
        <v>4</v>
      </c>
      <c r="F9" s="5">
        <v>911513.26</v>
      </c>
      <c r="G9" s="5">
        <v>389519</v>
      </c>
      <c r="H9" s="4">
        <f>IFERROR(E9/D9,"")</f>
        <v>0.44444444444444442</v>
      </c>
      <c r="I9" s="4">
        <f>IFERROR(G9/F9,"")</f>
        <v>0.42733223650525937</v>
      </c>
    </row>
    <row r="10" spans="1:9" x14ac:dyDescent="0.45">
      <c r="A10" s="2" t="s">
        <v>13</v>
      </c>
      <c r="B10" s="2" t="s">
        <v>46</v>
      </c>
      <c r="C10" s="2" t="s">
        <v>40</v>
      </c>
      <c r="D10" s="6">
        <v>0</v>
      </c>
      <c r="E10" s="6">
        <v>0</v>
      </c>
      <c r="F10" s="5">
        <v>0</v>
      </c>
      <c r="G10" s="5">
        <v>0</v>
      </c>
      <c r="H10" s="4" t="str">
        <f>IFERROR(E10/D10,"")</f>
        <v/>
      </c>
      <c r="I10" s="4" t="str">
        <f>IFERROR(G10/F10,"")</f>
        <v/>
      </c>
    </row>
    <row r="11" spans="1:9" x14ac:dyDescent="0.45">
      <c r="A11" s="2" t="s">
        <v>13</v>
      </c>
      <c r="B11" s="2" t="s">
        <v>46</v>
      </c>
      <c r="C11" s="2" t="s">
        <v>41</v>
      </c>
      <c r="D11" s="6">
        <v>0</v>
      </c>
      <c r="E11" s="6">
        <v>0</v>
      </c>
      <c r="F11" s="5">
        <v>0</v>
      </c>
      <c r="G11" s="5">
        <v>0</v>
      </c>
      <c r="H11" s="4" t="str">
        <f>IFERROR(E11/D11,"")</f>
        <v/>
      </c>
      <c r="I11" s="4" t="str">
        <f>IFERROR(G11/F11,"")</f>
        <v/>
      </c>
    </row>
    <row r="12" spans="1:9" x14ac:dyDescent="0.45">
      <c r="A12" s="2" t="s">
        <v>14</v>
      </c>
      <c r="B12" s="2" t="s">
        <v>46</v>
      </c>
      <c r="C12" s="2" t="s">
        <v>32</v>
      </c>
      <c r="D12" s="6">
        <v>5</v>
      </c>
      <c r="E12" s="6">
        <v>2</v>
      </c>
      <c r="F12" s="5">
        <v>756225</v>
      </c>
      <c r="G12" s="5">
        <v>874015</v>
      </c>
      <c r="H12" s="4">
        <f>IFERROR(E12/D12,"")</f>
        <v>0.4</v>
      </c>
      <c r="I12" s="4">
        <f>IFERROR(G12/F12,"")</f>
        <v>1.155760521008959</v>
      </c>
    </row>
    <row r="13" spans="1:9" x14ac:dyDescent="0.45">
      <c r="A13" s="2" t="s">
        <v>14</v>
      </c>
      <c r="B13" s="2" t="s">
        <v>46</v>
      </c>
      <c r="C13" s="2" t="s">
        <v>33</v>
      </c>
      <c r="D13" s="6">
        <v>0</v>
      </c>
      <c r="E13" s="6">
        <v>0</v>
      </c>
      <c r="F13" s="5">
        <v>0</v>
      </c>
      <c r="G13" s="5">
        <v>0</v>
      </c>
      <c r="H13" s="4" t="str">
        <f>IFERROR(E13/D13,"")</f>
        <v/>
      </c>
      <c r="I13" s="4" t="str">
        <f>IFERROR(G13/F13,"")</f>
        <v/>
      </c>
    </row>
    <row r="14" spans="1:9" x14ac:dyDescent="0.45">
      <c r="A14" s="2" t="s">
        <v>14</v>
      </c>
      <c r="B14" s="2" t="s">
        <v>46</v>
      </c>
      <c r="C14" s="2" t="s">
        <v>34</v>
      </c>
      <c r="D14" s="6">
        <v>2</v>
      </c>
      <c r="E14" s="6">
        <v>1</v>
      </c>
      <c r="F14" s="5">
        <v>66255</v>
      </c>
      <c r="G14" s="5">
        <v>56115</v>
      </c>
      <c r="H14" s="4">
        <f>IFERROR(E14/D14,"")</f>
        <v>0.5</v>
      </c>
      <c r="I14" s="4">
        <f>IFERROR(G14/F14,"")</f>
        <v>0.84695494679646821</v>
      </c>
    </row>
    <row r="15" spans="1:9" x14ac:dyDescent="0.45">
      <c r="A15" s="2" t="s">
        <v>14</v>
      </c>
      <c r="B15" s="2" t="s">
        <v>46</v>
      </c>
      <c r="C15" s="2" t="s">
        <v>35</v>
      </c>
      <c r="D15" s="6">
        <v>2</v>
      </c>
      <c r="E15" s="6">
        <v>2</v>
      </c>
      <c r="F15" s="5">
        <v>900420</v>
      </c>
      <c r="G15" s="5">
        <v>813660</v>
      </c>
      <c r="H15" s="4">
        <f>IFERROR(E15/D15,"")</f>
        <v>1</v>
      </c>
      <c r="I15" s="4">
        <f>IFERROR(G15/F15,"")</f>
        <v>0.90364496568268138</v>
      </c>
    </row>
    <row r="16" spans="1:9" x14ac:dyDescent="0.45">
      <c r="A16" s="2" t="s">
        <v>14</v>
      </c>
      <c r="B16" s="2" t="s">
        <v>46</v>
      </c>
      <c r="C16" s="2" t="s">
        <v>36</v>
      </c>
      <c r="D16" s="6">
        <v>0</v>
      </c>
      <c r="E16" s="6">
        <v>0</v>
      </c>
      <c r="F16" s="5">
        <v>0</v>
      </c>
      <c r="G16" s="5">
        <v>0</v>
      </c>
      <c r="H16" s="4" t="str">
        <f>IFERROR(E16/D16,"")</f>
        <v/>
      </c>
      <c r="I16" s="4" t="str">
        <f>IFERROR(G16/F16,"")</f>
        <v/>
      </c>
    </row>
    <row r="17" spans="1:9" x14ac:dyDescent="0.45">
      <c r="A17" s="2" t="s">
        <v>14</v>
      </c>
      <c r="B17" s="2" t="s">
        <v>46</v>
      </c>
      <c r="C17" s="2" t="s">
        <v>37</v>
      </c>
      <c r="D17" s="6">
        <v>4</v>
      </c>
      <c r="E17" s="6">
        <v>0</v>
      </c>
      <c r="F17" s="5">
        <v>193877</v>
      </c>
      <c r="G17" s="5">
        <v>0</v>
      </c>
      <c r="H17" s="4">
        <f>IFERROR(E17/D17,"")</f>
        <v>0</v>
      </c>
      <c r="I17" s="4">
        <f>IFERROR(G17/F17,"")</f>
        <v>0</v>
      </c>
    </row>
    <row r="18" spans="1:9" x14ac:dyDescent="0.45">
      <c r="A18" s="2" t="s">
        <v>14</v>
      </c>
      <c r="B18" s="2" t="s">
        <v>46</v>
      </c>
      <c r="C18" s="2" t="s">
        <v>38</v>
      </c>
      <c r="D18" s="6">
        <v>1</v>
      </c>
      <c r="E18" s="6">
        <v>0</v>
      </c>
      <c r="F18" s="5">
        <v>48000</v>
      </c>
      <c r="G18" s="5">
        <v>0</v>
      </c>
      <c r="H18" s="4">
        <f>IFERROR(E18/D18,"")</f>
        <v>0</v>
      </c>
      <c r="I18" s="4">
        <f>IFERROR(G18/F18,"")</f>
        <v>0</v>
      </c>
    </row>
    <row r="19" spans="1:9" x14ac:dyDescent="0.45">
      <c r="A19" s="2" t="s">
        <v>14</v>
      </c>
      <c r="B19" s="2" t="s">
        <v>46</v>
      </c>
      <c r="C19" s="2" t="s">
        <v>39</v>
      </c>
      <c r="D19" s="6">
        <v>6</v>
      </c>
      <c r="E19" s="6">
        <v>1</v>
      </c>
      <c r="F19" s="5">
        <v>584298.5</v>
      </c>
      <c r="G19" s="5">
        <v>137155</v>
      </c>
      <c r="H19" s="4">
        <f>IFERROR(E19/D19,"")</f>
        <v>0.16666666666666666</v>
      </c>
      <c r="I19" s="4">
        <f>IFERROR(G19/F19,"")</f>
        <v>0.23473447219186769</v>
      </c>
    </row>
    <row r="20" spans="1:9" x14ac:dyDescent="0.45">
      <c r="A20" s="2" t="s">
        <v>14</v>
      </c>
      <c r="B20" s="2" t="s">
        <v>46</v>
      </c>
      <c r="C20" s="2" t="s">
        <v>40</v>
      </c>
      <c r="D20" s="6">
        <v>0</v>
      </c>
      <c r="E20" s="6">
        <v>0</v>
      </c>
      <c r="F20" s="5">
        <v>0</v>
      </c>
      <c r="G20" s="5">
        <v>0</v>
      </c>
      <c r="H20" s="4" t="str">
        <f>IFERROR(E20/D20,"")</f>
        <v/>
      </c>
      <c r="I20" s="4" t="str">
        <f>IFERROR(G20/F20,"")</f>
        <v/>
      </c>
    </row>
    <row r="21" spans="1:9" x14ac:dyDescent="0.45">
      <c r="A21" s="2" t="s">
        <v>14</v>
      </c>
      <c r="B21" s="2" t="s">
        <v>46</v>
      </c>
      <c r="C21" s="2" t="s">
        <v>41</v>
      </c>
      <c r="D21" s="6">
        <v>0</v>
      </c>
      <c r="E21" s="6">
        <v>0</v>
      </c>
      <c r="F21" s="5">
        <v>0</v>
      </c>
      <c r="G21" s="5">
        <v>0</v>
      </c>
      <c r="H21" s="4" t="str">
        <f>IFERROR(E21/D21,"")</f>
        <v/>
      </c>
      <c r="I21" s="4" t="str">
        <f>IFERROR(G21/F21,"")</f>
        <v/>
      </c>
    </row>
    <row r="22" spans="1:9" x14ac:dyDescent="0.45">
      <c r="A22" s="2" t="s">
        <v>15</v>
      </c>
      <c r="B22" s="2" t="s">
        <v>46</v>
      </c>
      <c r="C22" s="2" t="s">
        <v>32</v>
      </c>
      <c r="D22" s="6">
        <v>9</v>
      </c>
      <c r="E22" s="6">
        <v>5</v>
      </c>
      <c r="F22" s="5">
        <v>991467.42</v>
      </c>
      <c r="G22" s="5">
        <v>621897.55000000005</v>
      </c>
      <c r="H22" s="4">
        <f>IFERROR(E22/D22,"")</f>
        <v>0.55555555555555558</v>
      </c>
      <c r="I22" s="4">
        <f>IFERROR(G22/F22,"")</f>
        <v>0.62724960745558334</v>
      </c>
    </row>
    <row r="23" spans="1:9" x14ac:dyDescent="0.45">
      <c r="A23" s="2" t="s">
        <v>15</v>
      </c>
      <c r="B23" s="2" t="s">
        <v>46</v>
      </c>
      <c r="C23" s="2" t="s">
        <v>33</v>
      </c>
      <c r="D23" s="6">
        <v>4</v>
      </c>
      <c r="E23" s="6">
        <v>1</v>
      </c>
      <c r="F23" s="5">
        <v>229633.75</v>
      </c>
      <c r="G23" s="5">
        <v>102433.75</v>
      </c>
      <c r="H23" s="4">
        <f>IFERROR(E23/D23,"")</f>
        <v>0.25</v>
      </c>
      <c r="I23" s="4">
        <f>IFERROR(G23/F23,"")</f>
        <v>0.44607445551884251</v>
      </c>
    </row>
    <row r="24" spans="1:9" x14ac:dyDescent="0.45">
      <c r="A24" s="2" t="s">
        <v>15</v>
      </c>
      <c r="B24" s="2" t="s">
        <v>46</v>
      </c>
      <c r="C24" s="2" t="s">
        <v>34</v>
      </c>
      <c r="D24" s="6">
        <v>1</v>
      </c>
      <c r="E24" s="6">
        <v>0</v>
      </c>
      <c r="F24" s="5">
        <v>0</v>
      </c>
      <c r="G24" s="5">
        <v>0</v>
      </c>
      <c r="H24" s="4">
        <f>IFERROR(E24/D24,"")</f>
        <v>0</v>
      </c>
      <c r="I24" s="4" t="str">
        <f>IFERROR(G24/F24,"")</f>
        <v/>
      </c>
    </row>
    <row r="25" spans="1:9" x14ac:dyDescent="0.45">
      <c r="A25" s="2" t="s">
        <v>15</v>
      </c>
      <c r="B25" s="2" t="s">
        <v>46</v>
      </c>
      <c r="C25" s="2" t="s">
        <v>35</v>
      </c>
      <c r="D25" s="6">
        <v>1</v>
      </c>
      <c r="E25" s="6">
        <v>1</v>
      </c>
      <c r="F25" s="5">
        <v>5306.6</v>
      </c>
      <c r="G25" s="5">
        <v>12898.1</v>
      </c>
      <c r="H25" s="4">
        <f>IFERROR(E25/D25,"")</f>
        <v>1</v>
      </c>
      <c r="I25" s="4">
        <f>IFERROR(G25/F25,"")</f>
        <v>2.4305770172992123</v>
      </c>
    </row>
    <row r="26" spans="1:9" x14ac:dyDescent="0.45">
      <c r="A26" s="2" t="s">
        <v>15</v>
      </c>
      <c r="B26" s="2" t="s">
        <v>46</v>
      </c>
      <c r="C26" s="2" t="s">
        <v>36</v>
      </c>
      <c r="D26" s="6">
        <v>0</v>
      </c>
      <c r="E26" s="6">
        <v>0</v>
      </c>
      <c r="F26" s="5">
        <v>0</v>
      </c>
      <c r="G26" s="5">
        <v>0</v>
      </c>
      <c r="H26" s="4" t="str">
        <f>IFERROR(E26/D26,"")</f>
        <v/>
      </c>
      <c r="I26" s="4" t="str">
        <f>IFERROR(G26/F26,"")</f>
        <v/>
      </c>
    </row>
    <row r="27" spans="1:9" x14ac:dyDescent="0.45">
      <c r="A27" s="2" t="s">
        <v>15</v>
      </c>
      <c r="B27" s="2" t="s">
        <v>46</v>
      </c>
      <c r="C27" s="2" t="s">
        <v>37</v>
      </c>
      <c r="D27" s="6">
        <v>7</v>
      </c>
      <c r="E27" s="6">
        <v>3</v>
      </c>
      <c r="F27" s="5">
        <v>382865</v>
      </c>
      <c r="G27" s="5">
        <v>262080</v>
      </c>
      <c r="H27" s="4">
        <f>IFERROR(E27/D27,"")</f>
        <v>0.42857142857142855</v>
      </c>
      <c r="I27" s="4">
        <f>IFERROR(G27/F27,"")</f>
        <v>0.68452326538074781</v>
      </c>
    </row>
    <row r="28" spans="1:9" x14ac:dyDescent="0.45">
      <c r="A28" s="2" t="s">
        <v>15</v>
      </c>
      <c r="B28" s="2" t="s">
        <v>46</v>
      </c>
      <c r="C28" s="2" t="s">
        <v>38</v>
      </c>
      <c r="D28" s="6">
        <v>0</v>
      </c>
      <c r="E28" s="6">
        <v>0</v>
      </c>
      <c r="F28" s="5">
        <v>0</v>
      </c>
      <c r="G28" s="5">
        <v>0</v>
      </c>
      <c r="H28" s="4" t="str">
        <f>IFERROR(E28/D28,"")</f>
        <v/>
      </c>
      <c r="I28" s="4" t="str">
        <f>IFERROR(G28/F28,"")</f>
        <v/>
      </c>
    </row>
    <row r="29" spans="1:9" x14ac:dyDescent="0.45">
      <c r="A29" s="2" t="s">
        <v>15</v>
      </c>
      <c r="B29" s="2" t="s">
        <v>46</v>
      </c>
      <c r="C29" s="2" t="s">
        <v>39</v>
      </c>
      <c r="D29" s="6">
        <v>6</v>
      </c>
      <c r="E29" s="6">
        <v>3</v>
      </c>
      <c r="F29" s="5">
        <v>290060</v>
      </c>
      <c r="G29" s="5">
        <v>272430</v>
      </c>
      <c r="H29" s="4">
        <f>IFERROR(E29/D29,"")</f>
        <v>0.5</v>
      </c>
      <c r="I29" s="4">
        <f>IFERROR(G29/F29,"")</f>
        <v>0.93921947183341381</v>
      </c>
    </row>
    <row r="30" spans="1:9" x14ac:dyDescent="0.45">
      <c r="A30" s="2" t="s">
        <v>15</v>
      </c>
      <c r="B30" s="2" t="s">
        <v>46</v>
      </c>
      <c r="C30" s="2" t="s">
        <v>40</v>
      </c>
      <c r="D30" s="6">
        <v>0</v>
      </c>
      <c r="E30" s="6">
        <v>0</v>
      </c>
      <c r="F30" s="5">
        <v>0</v>
      </c>
      <c r="G30" s="5">
        <v>0</v>
      </c>
      <c r="H30" s="4" t="str">
        <f>IFERROR(E30/D30,"")</f>
        <v/>
      </c>
      <c r="I30" s="4" t="str">
        <f>IFERROR(G30/F30,"")</f>
        <v/>
      </c>
    </row>
    <row r="31" spans="1:9" x14ac:dyDescent="0.45">
      <c r="A31" s="2" t="s">
        <v>15</v>
      </c>
      <c r="B31" s="2" t="s">
        <v>46</v>
      </c>
      <c r="C31" s="2" t="s">
        <v>41</v>
      </c>
      <c r="D31" s="6">
        <v>0</v>
      </c>
      <c r="E31" s="6">
        <v>0</v>
      </c>
      <c r="F31" s="5">
        <v>0</v>
      </c>
      <c r="G31" s="5">
        <v>0</v>
      </c>
      <c r="H31" s="4" t="str">
        <f>IFERROR(E31/D31,"")</f>
        <v/>
      </c>
      <c r="I31" s="4" t="str">
        <f>IFERROR(G31/F31,"")</f>
        <v/>
      </c>
    </row>
    <row r="32" spans="1:9" x14ac:dyDescent="0.45">
      <c r="A32" s="2" t="s">
        <v>16</v>
      </c>
      <c r="B32" s="2" t="s">
        <v>46</v>
      </c>
      <c r="C32" s="2" t="s">
        <v>32</v>
      </c>
      <c r="D32" s="6">
        <v>11</v>
      </c>
      <c r="E32" s="6">
        <v>5</v>
      </c>
      <c r="F32" s="5">
        <v>1205775.45</v>
      </c>
      <c r="G32" s="5">
        <v>562360</v>
      </c>
      <c r="H32" s="4">
        <f>IFERROR(E32/D32,"")</f>
        <v>0.45454545454545453</v>
      </c>
      <c r="I32" s="4">
        <f>IFERROR(G32/F32,"")</f>
        <v>0.46638866299691206</v>
      </c>
    </row>
    <row r="33" spans="1:9" x14ac:dyDescent="0.45">
      <c r="A33" s="2" t="s">
        <v>16</v>
      </c>
      <c r="B33" s="2" t="s">
        <v>46</v>
      </c>
      <c r="C33" s="2" t="s">
        <v>33</v>
      </c>
      <c r="D33" s="6">
        <v>4</v>
      </c>
      <c r="E33" s="6">
        <v>2</v>
      </c>
      <c r="F33" s="5">
        <v>821973.75</v>
      </c>
      <c r="G33" s="5">
        <v>228248</v>
      </c>
      <c r="H33" s="4">
        <f>IFERROR(E33/D33,"")</f>
        <v>0.5</v>
      </c>
      <c r="I33" s="4">
        <f>IFERROR(G33/F33,"")</f>
        <v>0.27768283354547513</v>
      </c>
    </row>
    <row r="34" spans="1:9" x14ac:dyDescent="0.45">
      <c r="A34" s="2" t="s">
        <v>16</v>
      </c>
      <c r="B34" s="2" t="s">
        <v>46</v>
      </c>
      <c r="C34" s="2" t="s">
        <v>34</v>
      </c>
      <c r="D34" s="6">
        <v>1</v>
      </c>
      <c r="E34" s="6">
        <v>0</v>
      </c>
      <c r="F34" s="5">
        <v>1425</v>
      </c>
      <c r="G34" s="5">
        <v>0</v>
      </c>
      <c r="H34" s="4">
        <f>IFERROR(E34/D34,"")</f>
        <v>0</v>
      </c>
      <c r="I34" s="4">
        <f>IFERROR(G34/F34,"")</f>
        <v>0</v>
      </c>
    </row>
    <row r="35" spans="1:9" x14ac:dyDescent="0.45">
      <c r="A35" s="2" t="s">
        <v>16</v>
      </c>
      <c r="B35" s="2" t="s">
        <v>46</v>
      </c>
      <c r="C35" s="2" t="s">
        <v>35</v>
      </c>
      <c r="D35" s="6">
        <v>2</v>
      </c>
      <c r="E35" s="6">
        <v>2</v>
      </c>
      <c r="F35" s="5">
        <v>77937.100000000006</v>
      </c>
      <c r="G35" s="5">
        <v>85640.35</v>
      </c>
      <c r="H35" s="4">
        <f>IFERROR(E35/D35,"")</f>
        <v>1</v>
      </c>
      <c r="I35" s="4">
        <f>IFERROR(G35/F35,"")</f>
        <v>1.0988393204263438</v>
      </c>
    </row>
    <row r="36" spans="1:9" x14ac:dyDescent="0.45">
      <c r="A36" s="2" t="s">
        <v>16</v>
      </c>
      <c r="B36" s="2" t="s">
        <v>46</v>
      </c>
      <c r="C36" s="2" t="s">
        <v>36</v>
      </c>
      <c r="D36" s="6">
        <v>0</v>
      </c>
      <c r="E36" s="6">
        <v>0</v>
      </c>
      <c r="F36" s="5">
        <v>0</v>
      </c>
      <c r="G36" s="5">
        <v>0</v>
      </c>
      <c r="H36" s="4" t="str">
        <f>IFERROR(E36/D36,"")</f>
        <v/>
      </c>
      <c r="I36" s="4" t="str">
        <f>IFERROR(G36/F36,"")</f>
        <v/>
      </c>
    </row>
    <row r="37" spans="1:9" x14ac:dyDescent="0.45">
      <c r="A37" s="2" t="s">
        <v>16</v>
      </c>
      <c r="B37" s="2" t="s">
        <v>46</v>
      </c>
      <c r="C37" s="2" t="s">
        <v>37</v>
      </c>
      <c r="D37" s="6">
        <v>7</v>
      </c>
      <c r="E37" s="6">
        <v>2</v>
      </c>
      <c r="F37" s="5">
        <v>383845</v>
      </c>
      <c r="G37" s="5">
        <v>111070</v>
      </c>
      <c r="H37" s="4">
        <f>IFERROR(E37/D37,"")</f>
        <v>0.2857142857142857</v>
      </c>
      <c r="I37" s="4">
        <f>IFERROR(G37/F37,"")</f>
        <v>0.28936159126730843</v>
      </c>
    </row>
    <row r="38" spans="1:9" x14ac:dyDescent="0.45">
      <c r="A38" s="2" t="s">
        <v>16</v>
      </c>
      <c r="B38" s="2" t="s">
        <v>46</v>
      </c>
      <c r="C38" s="2" t="s">
        <v>38</v>
      </c>
      <c r="D38" s="6">
        <v>2</v>
      </c>
      <c r="E38" s="6">
        <v>2</v>
      </c>
      <c r="F38" s="5">
        <v>93075</v>
      </c>
      <c r="G38" s="5">
        <v>89920</v>
      </c>
      <c r="H38" s="4">
        <f>IFERROR(E38/D38,"")</f>
        <v>1</v>
      </c>
      <c r="I38" s="4">
        <f>IFERROR(G38/F38,"")</f>
        <v>0.9661026054257319</v>
      </c>
    </row>
    <row r="39" spans="1:9" x14ac:dyDescent="0.45">
      <c r="A39" s="2" t="s">
        <v>16</v>
      </c>
      <c r="B39" s="2" t="s">
        <v>46</v>
      </c>
      <c r="C39" s="2" t="s">
        <v>39</v>
      </c>
      <c r="D39" s="6">
        <v>4</v>
      </c>
      <c r="E39" s="6">
        <v>3</v>
      </c>
      <c r="F39" s="5">
        <v>398453</v>
      </c>
      <c r="G39" s="5">
        <v>424685</v>
      </c>
      <c r="H39" s="4">
        <f>IFERROR(E39/D39,"")</f>
        <v>0.75</v>
      </c>
      <c r="I39" s="4">
        <f>IFERROR(G39/F39,"")</f>
        <v>1.0658346153749627</v>
      </c>
    </row>
    <row r="40" spans="1:9" x14ac:dyDescent="0.45">
      <c r="A40" s="2" t="s">
        <v>16</v>
      </c>
      <c r="B40" s="2" t="s">
        <v>46</v>
      </c>
      <c r="C40" s="2" t="s">
        <v>40</v>
      </c>
      <c r="D40" s="6">
        <v>0</v>
      </c>
      <c r="E40" s="6">
        <v>0</v>
      </c>
      <c r="F40" s="5">
        <v>0</v>
      </c>
      <c r="G40" s="5">
        <v>0</v>
      </c>
      <c r="H40" s="4" t="str">
        <f>IFERROR(E40/D40,"")</f>
        <v/>
      </c>
      <c r="I40" s="4" t="str">
        <f>IFERROR(G40/F40,"")</f>
        <v/>
      </c>
    </row>
    <row r="41" spans="1:9" x14ac:dyDescent="0.45">
      <c r="A41" s="2" t="s">
        <v>16</v>
      </c>
      <c r="B41" s="2" t="s">
        <v>46</v>
      </c>
      <c r="C41" s="2" t="s">
        <v>41</v>
      </c>
      <c r="D41" s="6">
        <v>0</v>
      </c>
      <c r="E41" s="6">
        <v>0</v>
      </c>
      <c r="F41" s="5">
        <v>0</v>
      </c>
      <c r="G41" s="5">
        <v>0</v>
      </c>
      <c r="H41" s="4" t="str">
        <f>IFERROR(E41/D41,"")</f>
        <v/>
      </c>
      <c r="I41" s="4" t="str">
        <f>IFERROR(G41/F41,"")</f>
        <v/>
      </c>
    </row>
    <row r="42" spans="1:9" x14ac:dyDescent="0.45">
      <c r="A42" s="2" t="s">
        <v>17</v>
      </c>
      <c r="B42" s="2" t="s">
        <v>46</v>
      </c>
      <c r="C42" s="2" t="s">
        <v>32</v>
      </c>
      <c r="D42" s="6">
        <v>11</v>
      </c>
      <c r="E42" s="6">
        <v>6</v>
      </c>
      <c r="F42" s="5">
        <v>2044918.5</v>
      </c>
      <c r="G42" s="5">
        <v>918624</v>
      </c>
      <c r="H42" s="4">
        <f>IFERROR(E42/D42,"")</f>
        <v>0.54545454545454541</v>
      </c>
      <c r="I42" s="4">
        <f>IFERROR(G42/F42,"")</f>
        <v>0.44922279298661538</v>
      </c>
    </row>
    <row r="43" spans="1:9" x14ac:dyDescent="0.45">
      <c r="A43" s="2" t="s">
        <v>17</v>
      </c>
      <c r="B43" s="2" t="s">
        <v>46</v>
      </c>
      <c r="C43" s="2" t="s">
        <v>33</v>
      </c>
      <c r="D43" s="6">
        <v>1</v>
      </c>
      <c r="E43" s="6">
        <v>1</v>
      </c>
      <c r="F43" s="5">
        <v>138158</v>
      </c>
      <c r="G43" s="5">
        <v>138158</v>
      </c>
      <c r="H43" s="4">
        <f>IFERROR(E43/D43,"")</f>
        <v>1</v>
      </c>
      <c r="I43" s="4">
        <f>IFERROR(G43/F43,"")</f>
        <v>1</v>
      </c>
    </row>
    <row r="44" spans="1:9" x14ac:dyDescent="0.45">
      <c r="A44" s="2" t="s">
        <v>17</v>
      </c>
      <c r="B44" s="2" t="s">
        <v>46</v>
      </c>
      <c r="C44" s="2" t="s">
        <v>34</v>
      </c>
      <c r="D44" s="6">
        <v>0</v>
      </c>
      <c r="E44" s="6">
        <v>0</v>
      </c>
      <c r="F44" s="5">
        <v>0</v>
      </c>
      <c r="G44" s="5">
        <v>0</v>
      </c>
      <c r="H44" s="4" t="str">
        <f>IFERROR(E44/D44,"")</f>
        <v/>
      </c>
      <c r="I44" s="4" t="str">
        <f>IFERROR(G44/F44,"")</f>
        <v/>
      </c>
    </row>
    <row r="45" spans="1:9" x14ac:dyDescent="0.45">
      <c r="A45" s="2" t="s">
        <v>17</v>
      </c>
      <c r="B45" s="2" t="s">
        <v>46</v>
      </c>
      <c r="C45" s="2" t="s">
        <v>35</v>
      </c>
      <c r="D45" s="6">
        <v>3</v>
      </c>
      <c r="E45" s="6">
        <v>2</v>
      </c>
      <c r="F45" s="5">
        <v>410460</v>
      </c>
      <c r="G45" s="5">
        <v>488289.75</v>
      </c>
      <c r="H45" s="4">
        <f>IFERROR(E45/D45,"")</f>
        <v>0.66666666666666663</v>
      </c>
      <c r="I45" s="4">
        <f>IFERROR(G45/F45,"")</f>
        <v>1.1896159187253326</v>
      </c>
    </row>
    <row r="46" spans="1:9" x14ac:dyDescent="0.45">
      <c r="A46" s="2" t="s">
        <v>17</v>
      </c>
      <c r="B46" s="2" t="s">
        <v>46</v>
      </c>
      <c r="C46" s="2" t="s">
        <v>36</v>
      </c>
      <c r="D46" s="6">
        <v>0</v>
      </c>
      <c r="E46" s="6">
        <v>0</v>
      </c>
      <c r="F46" s="5">
        <v>0</v>
      </c>
      <c r="G46" s="5">
        <v>0</v>
      </c>
      <c r="H46" s="4" t="str">
        <f>IFERROR(E46/D46,"")</f>
        <v/>
      </c>
      <c r="I46" s="4" t="str">
        <f>IFERROR(G46/F46,"")</f>
        <v/>
      </c>
    </row>
    <row r="47" spans="1:9" x14ac:dyDescent="0.45">
      <c r="A47" s="2" t="s">
        <v>17</v>
      </c>
      <c r="B47" s="2" t="s">
        <v>46</v>
      </c>
      <c r="C47" s="2" t="s">
        <v>37</v>
      </c>
      <c r="D47" s="6">
        <v>8</v>
      </c>
      <c r="E47" s="6">
        <v>6</v>
      </c>
      <c r="F47" s="5">
        <v>464365</v>
      </c>
      <c r="G47" s="5">
        <v>351500</v>
      </c>
      <c r="H47" s="4">
        <f>IFERROR(E47/D47,"")</f>
        <v>0.75</v>
      </c>
      <c r="I47" s="4">
        <f>IFERROR(G47/F47,"")</f>
        <v>0.75694765970734224</v>
      </c>
    </row>
    <row r="48" spans="1:9" x14ac:dyDescent="0.45">
      <c r="A48" s="2" t="s">
        <v>17</v>
      </c>
      <c r="B48" s="2" t="s">
        <v>46</v>
      </c>
      <c r="C48" s="2" t="s">
        <v>38</v>
      </c>
      <c r="D48" s="6">
        <v>0</v>
      </c>
      <c r="E48" s="6">
        <v>0</v>
      </c>
      <c r="F48" s="5">
        <v>0</v>
      </c>
      <c r="G48" s="5">
        <v>0</v>
      </c>
      <c r="H48" s="4" t="str">
        <f>IFERROR(E48/D48,"")</f>
        <v/>
      </c>
      <c r="I48" s="4" t="str">
        <f>IFERROR(G48/F48,"")</f>
        <v/>
      </c>
    </row>
    <row r="49" spans="1:9" x14ac:dyDescent="0.45">
      <c r="A49" s="2" t="s">
        <v>17</v>
      </c>
      <c r="B49" s="2" t="s">
        <v>46</v>
      </c>
      <c r="C49" s="2" t="s">
        <v>39</v>
      </c>
      <c r="D49" s="6">
        <v>4</v>
      </c>
      <c r="E49" s="6">
        <v>2</v>
      </c>
      <c r="F49" s="5">
        <v>356730</v>
      </c>
      <c r="G49" s="5">
        <v>84690</v>
      </c>
      <c r="H49" s="4">
        <f>IFERROR(E49/D49,"")</f>
        <v>0.5</v>
      </c>
      <c r="I49" s="4">
        <f>IFERROR(G49/F49,"")</f>
        <v>0.23740644184677487</v>
      </c>
    </row>
    <row r="50" spans="1:9" x14ac:dyDescent="0.45">
      <c r="A50" s="2" t="s">
        <v>17</v>
      </c>
      <c r="B50" s="2" t="s">
        <v>46</v>
      </c>
      <c r="C50" s="2" t="s">
        <v>40</v>
      </c>
      <c r="D50" s="6">
        <v>0</v>
      </c>
      <c r="E50" s="6">
        <v>0</v>
      </c>
      <c r="F50" s="5">
        <v>0</v>
      </c>
      <c r="G50" s="5">
        <v>0</v>
      </c>
      <c r="H50" s="4" t="str">
        <f>IFERROR(E50/D50,"")</f>
        <v/>
      </c>
      <c r="I50" s="4" t="str">
        <f>IFERROR(G50/F50,"")</f>
        <v/>
      </c>
    </row>
    <row r="51" spans="1:9" x14ac:dyDescent="0.45">
      <c r="A51" s="2" t="s">
        <v>17</v>
      </c>
      <c r="B51" s="2" t="s">
        <v>46</v>
      </c>
      <c r="C51" s="2" t="s">
        <v>41</v>
      </c>
      <c r="D51" s="6">
        <v>0</v>
      </c>
      <c r="E51" s="6">
        <v>0</v>
      </c>
      <c r="F51" s="5">
        <v>0</v>
      </c>
      <c r="G51" s="5">
        <v>0</v>
      </c>
      <c r="H51" s="4" t="str">
        <f>IFERROR(E51/D51,"")</f>
        <v/>
      </c>
      <c r="I51" s="4" t="str">
        <f>IFERROR(G51/F51,"")</f>
        <v/>
      </c>
    </row>
    <row r="52" spans="1:9" x14ac:dyDescent="0.45">
      <c r="A52" s="2" t="s">
        <v>18</v>
      </c>
      <c r="B52" s="2" t="s">
        <v>46</v>
      </c>
      <c r="C52" s="2" t="s">
        <v>32</v>
      </c>
      <c r="D52" s="6">
        <v>5</v>
      </c>
      <c r="E52" s="6">
        <v>2</v>
      </c>
      <c r="F52" s="5">
        <v>390286</v>
      </c>
      <c r="G52" s="5">
        <v>151933.28</v>
      </c>
      <c r="H52" s="4">
        <f>IFERROR(E52/D52,"")</f>
        <v>0.4</v>
      </c>
      <c r="I52" s="4">
        <f>IFERROR(G52/F52,"")</f>
        <v>0.38928703566102807</v>
      </c>
    </row>
    <row r="53" spans="1:9" x14ac:dyDescent="0.45">
      <c r="A53" s="2" t="s">
        <v>18</v>
      </c>
      <c r="B53" s="2" t="s">
        <v>46</v>
      </c>
      <c r="C53" s="2" t="s">
        <v>33</v>
      </c>
      <c r="D53" s="6">
        <v>7</v>
      </c>
      <c r="E53" s="6">
        <v>0</v>
      </c>
      <c r="F53" s="5">
        <v>306830</v>
      </c>
      <c r="G53" s="5">
        <v>0</v>
      </c>
      <c r="H53" s="4">
        <f>IFERROR(E53/D53,"")</f>
        <v>0</v>
      </c>
      <c r="I53" s="4">
        <f>IFERROR(G53/F53,"")</f>
        <v>0</v>
      </c>
    </row>
    <row r="54" spans="1:9" x14ac:dyDescent="0.45">
      <c r="A54" s="2" t="s">
        <v>18</v>
      </c>
      <c r="B54" s="2" t="s">
        <v>46</v>
      </c>
      <c r="C54" s="2" t="s">
        <v>34</v>
      </c>
      <c r="D54" s="6">
        <v>0</v>
      </c>
      <c r="E54" s="6">
        <v>0</v>
      </c>
      <c r="F54" s="5">
        <v>0</v>
      </c>
      <c r="G54" s="5">
        <v>0</v>
      </c>
      <c r="H54" s="4" t="str">
        <f>IFERROR(E54/D54,"")</f>
        <v/>
      </c>
      <c r="I54" s="4" t="str">
        <f>IFERROR(G54/F54,"")</f>
        <v/>
      </c>
    </row>
    <row r="55" spans="1:9" x14ac:dyDescent="0.45">
      <c r="A55" s="2" t="s">
        <v>18</v>
      </c>
      <c r="B55" s="2" t="s">
        <v>46</v>
      </c>
      <c r="C55" s="2" t="s">
        <v>35</v>
      </c>
      <c r="D55" s="6">
        <v>1</v>
      </c>
      <c r="E55" s="6">
        <v>0</v>
      </c>
      <c r="F55" s="5">
        <v>196925.18</v>
      </c>
      <c r="G55" s="5">
        <v>0</v>
      </c>
      <c r="H55" s="4">
        <f>IFERROR(E55/D55,"")</f>
        <v>0</v>
      </c>
      <c r="I55" s="4">
        <f>IFERROR(G55/F55,"")</f>
        <v>0</v>
      </c>
    </row>
    <row r="56" spans="1:9" x14ac:dyDescent="0.45">
      <c r="A56" s="2" t="s">
        <v>18</v>
      </c>
      <c r="B56" s="2" t="s">
        <v>46</v>
      </c>
      <c r="C56" s="2" t="s">
        <v>36</v>
      </c>
      <c r="D56" s="6">
        <v>0</v>
      </c>
      <c r="E56" s="6">
        <v>0</v>
      </c>
      <c r="F56" s="5">
        <v>0</v>
      </c>
      <c r="G56" s="5">
        <v>0</v>
      </c>
      <c r="H56" s="4" t="str">
        <f>IFERROR(E56/D56,"")</f>
        <v/>
      </c>
      <c r="I56" s="4" t="str">
        <f>IFERROR(G56/F56,"")</f>
        <v/>
      </c>
    </row>
    <row r="57" spans="1:9" x14ac:dyDescent="0.45">
      <c r="A57" s="2" t="s">
        <v>18</v>
      </c>
      <c r="B57" s="2" t="s">
        <v>46</v>
      </c>
      <c r="C57" s="2" t="s">
        <v>37</v>
      </c>
      <c r="D57" s="6">
        <v>3</v>
      </c>
      <c r="E57" s="6">
        <v>0</v>
      </c>
      <c r="F57" s="5">
        <v>76910</v>
      </c>
      <c r="G57" s="5">
        <v>0</v>
      </c>
      <c r="H57" s="4">
        <f>IFERROR(E57/D57,"")</f>
        <v>0</v>
      </c>
      <c r="I57" s="4">
        <f>IFERROR(G57/F57,"")</f>
        <v>0</v>
      </c>
    </row>
    <row r="58" spans="1:9" x14ac:dyDescent="0.45">
      <c r="A58" s="2" t="s">
        <v>18</v>
      </c>
      <c r="B58" s="2" t="s">
        <v>46</v>
      </c>
      <c r="C58" s="2" t="s">
        <v>38</v>
      </c>
      <c r="D58" s="6">
        <v>3</v>
      </c>
      <c r="E58" s="6">
        <v>1</v>
      </c>
      <c r="F58" s="5">
        <v>134394.35</v>
      </c>
      <c r="G58" s="5">
        <v>51395</v>
      </c>
      <c r="H58" s="4">
        <f>IFERROR(E58/D58,"")</f>
        <v>0.33333333333333331</v>
      </c>
      <c r="I58" s="4">
        <f>IFERROR(G58/F58,"")</f>
        <v>0.38241935021821971</v>
      </c>
    </row>
    <row r="59" spans="1:9" x14ac:dyDescent="0.45">
      <c r="A59" s="2" t="s">
        <v>18</v>
      </c>
      <c r="B59" s="2" t="s">
        <v>46</v>
      </c>
      <c r="C59" s="2" t="s">
        <v>39</v>
      </c>
      <c r="D59" s="6">
        <v>3</v>
      </c>
      <c r="E59" s="6">
        <v>1</v>
      </c>
      <c r="F59" s="5">
        <v>169280</v>
      </c>
      <c r="G59" s="5">
        <v>129740</v>
      </c>
      <c r="H59" s="4">
        <f>IFERROR(E59/D59,"")</f>
        <v>0.33333333333333331</v>
      </c>
      <c r="I59" s="4">
        <f>IFERROR(G59/F59,"")</f>
        <v>0.76642249527410211</v>
      </c>
    </row>
    <row r="60" spans="1:9" x14ac:dyDescent="0.45">
      <c r="A60" s="2" t="s">
        <v>18</v>
      </c>
      <c r="B60" s="2" t="s">
        <v>46</v>
      </c>
      <c r="C60" s="2" t="s">
        <v>40</v>
      </c>
      <c r="D60" s="6">
        <v>0</v>
      </c>
      <c r="E60" s="6">
        <v>0</v>
      </c>
      <c r="F60" s="5">
        <v>0</v>
      </c>
      <c r="G60" s="5">
        <v>0</v>
      </c>
      <c r="H60" s="4" t="str">
        <f>IFERROR(E60/D60,"")</f>
        <v/>
      </c>
      <c r="I60" s="4" t="str">
        <f>IFERROR(G60/F60,"")</f>
        <v/>
      </c>
    </row>
    <row r="61" spans="1:9" x14ac:dyDescent="0.45">
      <c r="A61" s="2" t="s">
        <v>18</v>
      </c>
      <c r="B61" s="2" t="s">
        <v>46</v>
      </c>
      <c r="C61" s="2" t="s">
        <v>41</v>
      </c>
      <c r="D61" s="6">
        <v>0</v>
      </c>
      <c r="E61" s="6">
        <v>0</v>
      </c>
      <c r="F61" s="5">
        <v>0</v>
      </c>
      <c r="G61" s="5">
        <v>0</v>
      </c>
      <c r="H61" s="4" t="str">
        <f>IFERROR(E61/D61,"")</f>
        <v/>
      </c>
      <c r="I61" s="4" t="str">
        <f>IFERROR(G61/F61,"")</f>
        <v/>
      </c>
    </row>
    <row r="62" spans="1:9" x14ac:dyDescent="0.45">
      <c r="A62" s="2" t="s">
        <v>19</v>
      </c>
      <c r="B62" s="2" t="s">
        <v>46</v>
      </c>
      <c r="C62" s="2" t="s">
        <v>32</v>
      </c>
      <c r="D62" s="6">
        <v>10</v>
      </c>
      <c r="E62" s="6">
        <v>5</v>
      </c>
      <c r="F62" s="5">
        <v>891755.6</v>
      </c>
      <c r="G62" s="5">
        <v>521691</v>
      </c>
      <c r="H62" s="4">
        <f>IFERROR(E62/D62,"")</f>
        <v>0.5</v>
      </c>
      <c r="I62" s="4">
        <f>IFERROR(G62/F62,"")</f>
        <v>0.58501567021278034</v>
      </c>
    </row>
    <row r="63" spans="1:9" x14ac:dyDescent="0.45">
      <c r="A63" s="2" t="s">
        <v>19</v>
      </c>
      <c r="B63" s="2" t="s">
        <v>46</v>
      </c>
      <c r="C63" s="2" t="s">
        <v>33</v>
      </c>
      <c r="D63" s="6">
        <v>6</v>
      </c>
      <c r="E63" s="6">
        <v>2</v>
      </c>
      <c r="F63" s="5">
        <v>424292.25</v>
      </c>
      <c r="G63" s="5">
        <v>200525</v>
      </c>
      <c r="H63" s="4">
        <f>IFERROR(E63/D63,"")</f>
        <v>0.33333333333333331</v>
      </c>
      <c r="I63" s="4">
        <f>IFERROR(G63/F63,"")</f>
        <v>0.47261056500560639</v>
      </c>
    </row>
    <row r="64" spans="1:9" x14ac:dyDescent="0.45">
      <c r="A64" s="2" t="s">
        <v>19</v>
      </c>
      <c r="B64" s="2" t="s">
        <v>46</v>
      </c>
      <c r="C64" s="2" t="s">
        <v>34</v>
      </c>
      <c r="D64" s="6">
        <v>0</v>
      </c>
      <c r="E64" s="6">
        <v>0</v>
      </c>
      <c r="F64" s="5">
        <v>0</v>
      </c>
      <c r="G64" s="5">
        <v>0</v>
      </c>
      <c r="H64" s="4" t="str">
        <f>IFERROR(E64/D64,"")</f>
        <v/>
      </c>
      <c r="I64" s="4" t="str">
        <f>IFERROR(G64/F64,"")</f>
        <v/>
      </c>
    </row>
    <row r="65" spans="1:9" x14ac:dyDescent="0.45">
      <c r="A65" s="2" t="s">
        <v>19</v>
      </c>
      <c r="B65" s="2" t="s">
        <v>46</v>
      </c>
      <c r="C65" s="2" t="s">
        <v>35</v>
      </c>
      <c r="D65" s="6">
        <v>1</v>
      </c>
      <c r="E65" s="6">
        <v>1</v>
      </c>
      <c r="F65" s="5">
        <v>79180</v>
      </c>
      <c r="G65" s="5">
        <v>94820</v>
      </c>
      <c r="H65" s="4">
        <f>IFERROR(E65/D65,"")</f>
        <v>1</v>
      </c>
      <c r="I65" s="4">
        <f>IFERROR(G65/F65,"")</f>
        <v>1.1975246274311695</v>
      </c>
    </row>
    <row r="66" spans="1:9" x14ac:dyDescent="0.45">
      <c r="A66" s="2" t="s">
        <v>19</v>
      </c>
      <c r="B66" s="2" t="s">
        <v>46</v>
      </c>
      <c r="C66" s="2" t="s">
        <v>36</v>
      </c>
      <c r="D66" s="6">
        <v>0</v>
      </c>
      <c r="E66" s="6">
        <v>0</v>
      </c>
      <c r="F66" s="5">
        <v>0</v>
      </c>
      <c r="G66" s="5">
        <v>0</v>
      </c>
      <c r="H66" s="4" t="str">
        <f>IFERROR(E66/D66,"")</f>
        <v/>
      </c>
      <c r="I66" s="4" t="str">
        <f>IFERROR(G66/F66,"")</f>
        <v/>
      </c>
    </row>
    <row r="67" spans="1:9" x14ac:dyDescent="0.45">
      <c r="A67" s="2" t="s">
        <v>19</v>
      </c>
      <c r="B67" s="2" t="s">
        <v>46</v>
      </c>
      <c r="C67" s="2" t="s">
        <v>37</v>
      </c>
      <c r="D67" s="6">
        <v>4</v>
      </c>
      <c r="E67" s="6">
        <v>1</v>
      </c>
      <c r="F67" s="5">
        <v>320660</v>
      </c>
      <c r="G67" s="5">
        <v>30800</v>
      </c>
      <c r="H67" s="4">
        <f>IFERROR(E67/D67,"")</f>
        <v>0.25</v>
      </c>
      <c r="I67" s="4">
        <f>IFERROR(G67/F67,"")</f>
        <v>9.6051892970747829E-2</v>
      </c>
    </row>
    <row r="68" spans="1:9" x14ac:dyDescent="0.45">
      <c r="A68" s="2" t="s">
        <v>19</v>
      </c>
      <c r="B68" s="2" t="s">
        <v>46</v>
      </c>
      <c r="C68" s="2" t="s">
        <v>38</v>
      </c>
      <c r="D68" s="6">
        <v>2</v>
      </c>
      <c r="E68" s="6">
        <v>0</v>
      </c>
      <c r="F68" s="5">
        <v>33685</v>
      </c>
      <c r="G68" s="5">
        <v>0</v>
      </c>
      <c r="H68" s="4">
        <f>IFERROR(E68/D68,"")</f>
        <v>0</v>
      </c>
      <c r="I68" s="4">
        <f>IFERROR(G68/F68,"")</f>
        <v>0</v>
      </c>
    </row>
    <row r="69" spans="1:9" x14ac:dyDescent="0.45">
      <c r="A69" s="2" t="s">
        <v>19</v>
      </c>
      <c r="B69" s="2" t="s">
        <v>46</v>
      </c>
      <c r="C69" s="2" t="s">
        <v>39</v>
      </c>
      <c r="D69" s="6">
        <v>8</v>
      </c>
      <c r="E69" s="6">
        <v>5</v>
      </c>
      <c r="F69" s="5">
        <v>876410</v>
      </c>
      <c r="G69" s="5">
        <v>542575</v>
      </c>
      <c r="H69" s="4">
        <f>IFERROR(E69/D69,"")</f>
        <v>0.625</v>
      </c>
      <c r="I69" s="4">
        <f>IFERROR(G69/F69,"")</f>
        <v>0.61908809803630716</v>
      </c>
    </row>
    <row r="70" spans="1:9" x14ac:dyDescent="0.45">
      <c r="A70" s="2" t="s">
        <v>19</v>
      </c>
      <c r="B70" s="2" t="s">
        <v>46</v>
      </c>
      <c r="C70" s="2" t="s">
        <v>40</v>
      </c>
      <c r="D70" s="6">
        <v>0</v>
      </c>
      <c r="E70" s="6">
        <v>0</v>
      </c>
      <c r="F70" s="5">
        <v>0</v>
      </c>
      <c r="G70" s="5">
        <v>0</v>
      </c>
      <c r="H70" s="4" t="str">
        <f>IFERROR(E70/D70,"")</f>
        <v/>
      </c>
      <c r="I70" s="4" t="str">
        <f>IFERROR(G70/F70,"")</f>
        <v/>
      </c>
    </row>
    <row r="71" spans="1:9" x14ac:dyDescent="0.45">
      <c r="A71" s="2" t="s">
        <v>19</v>
      </c>
      <c r="B71" s="2" t="s">
        <v>46</v>
      </c>
      <c r="C71" s="2" t="s">
        <v>41</v>
      </c>
      <c r="D71" s="6">
        <v>0</v>
      </c>
      <c r="E71" s="6">
        <v>0</v>
      </c>
      <c r="F71" s="5">
        <v>0</v>
      </c>
      <c r="G71" s="5">
        <v>0</v>
      </c>
      <c r="H71" s="4" t="str">
        <f>IFERROR(E71/D71,"")</f>
        <v/>
      </c>
      <c r="I71" s="4" t="str">
        <f>IFERROR(G71/F71,"")</f>
        <v/>
      </c>
    </row>
    <row r="72" spans="1:9" x14ac:dyDescent="0.45">
      <c r="A72" s="2" t="s">
        <v>20</v>
      </c>
      <c r="B72" s="2" t="s">
        <v>46</v>
      </c>
      <c r="C72" s="2" t="s">
        <v>32</v>
      </c>
      <c r="D72" s="6">
        <v>5</v>
      </c>
      <c r="E72" s="6">
        <v>3</v>
      </c>
      <c r="F72" s="5">
        <v>649000</v>
      </c>
      <c r="G72" s="5">
        <v>309900</v>
      </c>
      <c r="H72" s="4">
        <f>IFERROR(E72/D72,"")</f>
        <v>0.6</v>
      </c>
      <c r="I72" s="4">
        <f>IFERROR(G72/F72,"")</f>
        <v>0.47750385208012325</v>
      </c>
    </row>
    <row r="73" spans="1:9" x14ac:dyDescent="0.45">
      <c r="A73" s="2" t="s">
        <v>20</v>
      </c>
      <c r="B73" s="2" t="s">
        <v>46</v>
      </c>
      <c r="C73" s="2" t="s">
        <v>33</v>
      </c>
      <c r="D73" s="6">
        <v>5</v>
      </c>
      <c r="E73" s="6">
        <v>3</v>
      </c>
      <c r="F73" s="5">
        <v>303433.7</v>
      </c>
      <c r="G73" s="5">
        <v>164058.88</v>
      </c>
      <c r="H73" s="4">
        <f>IFERROR(E73/D73,"")</f>
        <v>0.6</v>
      </c>
      <c r="I73" s="4">
        <f>IFERROR(G73/F73,"")</f>
        <v>0.54067455262879505</v>
      </c>
    </row>
    <row r="74" spans="1:9" x14ac:dyDescent="0.45">
      <c r="A74" s="2" t="s">
        <v>20</v>
      </c>
      <c r="B74" s="2" t="s">
        <v>46</v>
      </c>
      <c r="C74" s="2" t="s">
        <v>34</v>
      </c>
      <c r="D74" s="6">
        <v>0</v>
      </c>
      <c r="E74" s="6">
        <v>0</v>
      </c>
      <c r="F74" s="5">
        <v>0</v>
      </c>
      <c r="G74" s="5">
        <v>0</v>
      </c>
      <c r="H74" s="4" t="str">
        <f>IFERROR(E74/D74,"")</f>
        <v/>
      </c>
      <c r="I74" s="4" t="str">
        <f>IFERROR(G74/F74,"")</f>
        <v/>
      </c>
    </row>
    <row r="75" spans="1:9" x14ac:dyDescent="0.45">
      <c r="A75" s="2" t="s">
        <v>20</v>
      </c>
      <c r="B75" s="2" t="s">
        <v>46</v>
      </c>
      <c r="C75" s="2" t="s">
        <v>35</v>
      </c>
      <c r="D75" s="6">
        <v>0</v>
      </c>
      <c r="E75" s="6">
        <v>0</v>
      </c>
      <c r="F75" s="5">
        <v>0</v>
      </c>
      <c r="G75" s="5">
        <v>0</v>
      </c>
      <c r="H75" s="4" t="str">
        <f>IFERROR(E75/D75,"")</f>
        <v/>
      </c>
      <c r="I75" s="4" t="str">
        <f>IFERROR(G75/F75,"")</f>
        <v/>
      </c>
    </row>
    <row r="76" spans="1:9" x14ac:dyDescent="0.45">
      <c r="A76" s="2" t="s">
        <v>20</v>
      </c>
      <c r="B76" s="2" t="s">
        <v>46</v>
      </c>
      <c r="C76" s="2" t="s">
        <v>36</v>
      </c>
      <c r="D76" s="6">
        <v>0</v>
      </c>
      <c r="E76" s="6">
        <v>0</v>
      </c>
      <c r="F76" s="5">
        <v>0</v>
      </c>
      <c r="G76" s="5">
        <v>0</v>
      </c>
      <c r="H76" s="4" t="str">
        <f>IFERROR(E76/D76,"")</f>
        <v/>
      </c>
      <c r="I76" s="4" t="str">
        <f>IFERROR(G76/F76,"")</f>
        <v/>
      </c>
    </row>
    <row r="77" spans="1:9" x14ac:dyDescent="0.45">
      <c r="A77" s="2" t="s">
        <v>20</v>
      </c>
      <c r="B77" s="2" t="s">
        <v>46</v>
      </c>
      <c r="C77" s="2" t="s">
        <v>37</v>
      </c>
      <c r="D77" s="6">
        <v>4</v>
      </c>
      <c r="E77" s="6">
        <v>2</v>
      </c>
      <c r="F77" s="5">
        <v>225280</v>
      </c>
      <c r="G77" s="5">
        <v>108120</v>
      </c>
      <c r="H77" s="4">
        <f>IFERROR(E77/D77,"")</f>
        <v>0.5</v>
      </c>
      <c r="I77" s="4">
        <f>IFERROR(G77/F77,"")</f>
        <v>0.47993607954545453</v>
      </c>
    </row>
    <row r="78" spans="1:9" x14ac:dyDescent="0.45">
      <c r="A78" s="2" t="s">
        <v>20</v>
      </c>
      <c r="B78" s="2" t="s">
        <v>46</v>
      </c>
      <c r="C78" s="2" t="s">
        <v>38</v>
      </c>
      <c r="D78" s="6">
        <v>4</v>
      </c>
      <c r="E78" s="6">
        <v>2</v>
      </c>
      <c r="F78" s="5">
        <v>292340</v>
      </c>
      <c r="G78" s="5">
        <v>108905</v>
      </c>
      <c r="H78" s="4">
        <f>IFERROR(E78/D78,"")</f>
        <v>0.5</v>
      </c>
      <c r="I78" s="4">
        <f>IFERROR(G78/F78,"")</f>
        <v>0.37252856263255113</v>
      </c>
    </row>
    <row r="79" spans="1:9" x14ac:dyDescent="0.45">
      <c r="A79" s="2" t="s">
        <v>20</v>
      </c>
      <c r="B79" s="2" t="s">
        <v>46</v>
      </c>
      <c r="C79" s="2" t="s">
        <v>39</v>
      </c>
      <c r="D79" s="6">
        <v>4</v>
      </c>
      <c r="E79" s="6">
        <v>2</v>
      </c>
      <c r="F79" s="5">
        <v>466862.13</v>
      </c>
      <c r="G79" s="5">
        <v>252695</v>
      </c>
      <c r="H79" s="4">
        <f>IFERROR(E79/D79,"")</f>
        <v>0.5</v>
      </c>
      <c r="I79" s="4">
        <f>IFERROR(G79/F79,"")</f>
        <v>0.54126257788353915</v>
      </c>
    </row>
    <row r="80" spans="1:9" x14ac:dyDescent="0.45">
      <c r="A80" s="2" t="s">
        <v>20</v>
      </c>
      <c r="B80" s="2" t="s">
        <v>46</v>
      </c>
      <c r="C80" s="2" t="s">
        <v>40</v>
      </c>
      <c r="D80" s="6">
        <v>0</v>
      </c>
      <c r="E80" s="6">
        <v>0</v>
      </c>
      <c r="F80" s="5">
        <v>0</v>
      </c>
      <c r="G80" s="5">
        <v>0</v>
      </c>
      <c r="H80" s="4" t="str">
        <f>IFERROR(E80/D80,"")</f>
        <v/>
      </c>
      <c r="I80" s="4" t="str">
        <f>IFERROR(G80/F80,"")</f>
        <v/>
      </c>
    </row>
    <row r="81" spans="1:9" x14ac:dyDescent="0.45">
      <c r="A81" s="2" t="s">
        <v>20</v>
      </c>
      <c r="B81" s="2" t="s">
        <v>46</v>
      </c>
      <c r="C81" s="2" t="s">
        <v>41</v>
      </c>
      <c r="D81" s="6">
        <v>1</v>
      </c>
      <c r="E81" s="6">
        <v>0</v>
      </c>
      <c r="F81" s="5">
        <v>0</v>
      </c>
      <c r="G81" s="5">
        <v>0</v>
      </c>
      <c r="H81" s="4">
        <f>IFERROR(E81/D81,"")</f>
        <v>0</v>
      </c>
      <c r="I81" s="4" t="str">
        <f>IFERROR(G81/F81,"")</f>
        <v/>
      </c>
    </row>
    <row r="82" spans="1:9" x14ac:dyDescent="0.45">
      <c r="A82" s="2" t="s">
        <v>21</v>
      </c>
      <c r="B82" s="2" t="s">
        <v>46</v>
      </c>
      <c r="C82" s="2" t="s">
        <v>32</v>
      </c>
      <c r="D82" s="6">
        <v>8</v>
      </c>
      <c r="E82" s="6">
        <v>3</v>
      </c>
      <c r="F82" s="5">
        <v>1361540.74</v>
      </c>
      <c r="G82" s="5">
        <v>234774</v>
      </c>
      <c r="H82" s="4">
        <f>IFERROR(E82/D82,"")</f>
        <v>0.375</v>
      </c>
      <c r="I82" s="4">
        <f>IFERROR(G82/F82,"")</f>
        <v>0.172432592799243</v>
      </c>
    </row>
    <row r="83" spans="1:9" x14ac:dyDescent="0.45">
      <c r="A83" s="2" t="s">
        <v>21</v>
      </c>
      <c r="B83" s="2" t="s">
        <v>46</v>
      </c>
      <c r="C83" s="2" t="s">
        <v>33</v>
      </c>
      <c r="D83" s="6">
        <v>3</v>
      </c>
      <c r="E83" s="6">
        <v>2</v>
      </c>
      <c r="F83" s="5">
        <v>206740</v>
      </c>
      <c r="G83" s="5">
        <v>206440</v>
      </c>
      <c r="H83" s="4">
        <f>IFERROR(E83/D83,"")</f>
        <v>0.66666666666666663</v>
      </c>
      <c r="I83" s="4">
        <f>IFERROR(G83/F83,"")</f>
        <v>0.99854890200251523</v>
      </c>
    </row>
    <row r="84" spans="1:9" x14ac:dyDescent="0.45">
      <c r="A84" s="2" t="s">
        <v>21</v>
      </c>
      <c r="B84" s="2" t="s">
        <v>46</v>
      </c>
      <c r="C84" s="2" t="s">
        <v>34</v>
      </c>
      <c r="D84" s="6">
        <v>0</v>
      </c>
      <c r="E84" s="6">
        <v>0</v>
      </c>
      <c r="F84" s="5">
        <v>0</v>
      </c>
      <c r="G84" s="5">
        <v>0</v>
      </c>
      <c r="H84" s="4" t="str">
        <f>IFERROR(E84/D84,"")</f>
        <v/>
      </c>
      <c r="I84" s="4" t="str">
        <f>IFERROR(G84/F84,"")</f>
        <v/>
      </c>
    </row>
    <row r="85" spans="1:9" x14ac:dyDescent="0.45">
      <c r="A85" s="2" t="s">
        <v>21</v>
      </c>
      <c r="B85" s="2" t="s">
        <v>46</v>
      </c>
      <c r="C85" s="2" t="s">
        <v>35</v>
      </c>
      <c r="D85" s="6">
        <v>1</v>
      </c>
      <c r="E85" s="6">
        <v>0</v>
      </c>
      <c r="F85" s="5">
        <v>333853.75</v>
      </c>
      <c r="G85" s="5">
        <v>0</v>
      </c>
      <c r="H85" s="4">
        <f>IFERROR(E85/D85,"")</f>
        <v>0</v>
      </c>
      <c r="I85" s="4">
        <f>IFERROR(G85/F85,"")</f>
        <v>0</v>
      </c>
    </row>
    <row r="86" spans="1:9" x14ac:dyDescent="0.45">
      <c r="A86" s="2" t="s">
        <v>21</v>
      </c>
      <c r="B86" s="2" t="s">
        <v>46</v>
      </c>
      <c r="C86" s="2" t="s">
        <v>36</v>
      </c>
      <c r="D86" s="6">
        <v>0</v>
      </c>
      <c r="E86" s="6">
        <v>0</v>
      </c>
      <c r="F86" s="5">
        <v>0</v>
      </c>
      <c r="G86" s="5">
        <v>0</v>
      </c>
      <c r="H86" s="4" t="str">
        <f>IFERROR(E86/D86,"")</f>
        <v/>
      </c>
      <c r="I86" s="4" t="str">
        <f>IFERROR(G86/F86,"")</f>
        <v/>
      </c>
    </row>
    <row r="87" spans="1:9" x14ac:dyDescent="0.45">
      <c r="A87" s="2" t="s">
        <v>21</v>
      </c>
      <c r="B87" s="2" t="s">
        <v>46</v>
      </c>
      <c r="C87" s="2" t="s">
        <v>37</v>
      </c>
      <c r="D87" s="6">
        <v>4</v>
      </c>
      <c r="E87" s="6">
        <v>1</v>
      </c>
      <c r="F87" s="5">
        <v>491095</v>
      </c>
      <c r="G87" s="5">
        <v>223145</v>
      </c>
      <c r="H87" s="4">
        <f>IFERROR(E87/D87,"")</f>
        <v>0.25</v>
      </c>
      <c r="I87" s="4">
        <f>IFERROR(G87/F87,"")</f>
        <v>0.4543825532738065</v>
      </c>
    </row>
    <row r="88" spans="1:9" x14ac:dyDescent="0.45">
      <c r="A88" s="2" t="s">
        <v>21</v>
      </c>
      <c r="B88" s="2" t="s">
        <v>46</v>
      </c>
      <c r="C88" s="2" t="s">
        <v>38</v>
      </c>
      <c r="D88" s="6">
        <v>4</v>
      </c>
      <c r="E88" s="6">
        <v>3</v>
      </c>
      <c r="F88" s="5">
        <v>365378.54</v>
      </c>
      <c r="G88" s="5">
        <v>279686.45</v>
      </c>
      <c r="H88" s="4">
        <f>IFERROR(E88/D88,"")</f>
        <v>0.75</v>
      </c>
      <c r="I88" s="4">
        <f>IFERROR(G88/F88,"")</f>
        <v>0.76547038038960913</v>
      </c>
    </row>
    <row r="89" spans="1:9" x14ac:dyDescent="0.45">
      <c r="A89" s="2" t="s">
        <v>21</v>
      </c>
      <c r="B89" s="2" t="s">
        <v>46</v>
      </c>
      <c r="C89" s="2" t="s">
        <v>39</v>
      </c>
      <c r="D89" s="6">
        <v>6</v>
      </c>
      <c r="E89" s="6">
        <v>1</v>
      </c>
      <c r="F89" s="5">
        <v>483370.47</v>
      </c>
      <c r="G89" s="5">
        <v>142458.97</v>
      </c>
      <c r="H89" s="4">
        <f>IFERROR(E89/D89,"")</f>
        <v>0.16666666666666666</v>
      </c>
      <c r="I89" s="4">
        <f>IFERROR(G89/F89,"")</f>
        <v>0.29472005188897865</v>
      </c>
    </row>
    <row r="90" spans="1:9" x14ac:dyDescent="0.45">
      <c r="A90" s="2" t="s">
        <v>21</v>
      </c>
      <c r="B90" s="2" t="s">
        <v>46</v>
      </c>
      <c r="C90" s="2" t="s">
        <v>40</v>
      </c>
      <c r="D90" s="6">
        <v>0</v>
      </c>
      <c r="E90" s="6">
        <v>0</v>
      </c>
      <c r="F90" s="5">
        <v>0</v>
      </c>
      <c r="G90" s="5">
        <v>0</v>
      </c>
      <c r="H90" s="4" t="str">
        <f>IFERROR(E90/D90,"")</f>
        <v/>
      </c>
      <c r="I90" s="4" t="str">
        <f>IFERROR(G90/F90,"")</f>
        <v/>
      </c>
    </row>
    <row r="91" spans="1:9" x14ac:dyDescent="0.45">
      <c r="A91" s="2" t="s">
        <v>21</v>
      </c>
      <c r="B91" s="2" t="s">
        <v>46</v>
      </c>
      <c r="C91" s="2" t="s">
        <v>41</v>
      </c>
      <c r="D91" s="6">
        <v>0</v>
      </c>
      <c r="E91" s="6">
        <v>0</v>
      </c>
      <c r="F91" s="5">
        <v>0</v>
      </c>
      <c r="G91" s="5">
        <v>0</v>
      </c>
      <c r="H91" s="4" t="str">
        <f>IFERROR(E91/D91,"")</f>
        <v/>
      </c>
      <c r="I91" s="4" t="str">
        <f>IFERROR(G91/F91,"")</f>
        <v/>
      </c>
    </row>
    <row r="92" spans="1:9" x14ac:dyDescent="0.45">
      <c r="A92" s="2" t="s">
        <v>22</v>
      </c>
      <c r="B92" s="2" t="s">
        <v>46</v>
      </c>
      <c r="C92" s="2" t="s">
        <v>32</v>
      </c>
      <c r="D92" s="6">
        <v>6</v>
      </c>
      <c r="E92" s="6">
        <v>1</v>
      </c>
      <c r="F92" s="5">
        <v>401370</v>
      </c>
      <c r="G92" s="5">
        <v>355915</v>
      </c>
      <c r="H92" s="4">
        <f>IFERROR(E92/D92,"")</f>
        <v>0.16666666666666666</v>
      </c>
      <c r="I92" s="4">
        <f>IFERROR(G92/F92,"")</f>
        <v>0.88675037994867578</v>
      </c>
    </row>
    <row r="93" spans="1:9" x14ac:dyDescent="0.45">
      <c r="A93" s="2" t="s">
        <v>22</v>
      </c>
      <c r="B93" s="2" t="s">
        <v>46</v>
      </c>
      <c r="C93" s="2" t="s">
        <v>33</v>
      </c>
      <c r="D93" s="6">
        <v>1</v>
      </c>
      <c r="E93" s="6">
        <v>0</v>
      </c>
      <c r="F93" s="5">
        <v>0</v>
      </c>
      <c r="G93" s="5">
        <v>0</v>
      </c>
      <c r="H93" s="4">
        <f>IFERROR(E93/D93,"")</f>
        <v>0</v>
      </c>
      <c r="I93" s="4" t="str">
        <f>IFERROR(G93/F93,"")</f>
        <v/>
      </c>
    </row>
    <row r="94" spans="1:9" x14ac:dyDescent="0.45">
      <c r="A94" s="2" t="s">
        <v>22</v>
      </c>
      <c r="B94" s="2" t="s">
        <v>46</v>
      </c>
      <c r="C94" s="2" t="s">
        <v>34</v>
      </c>
      <c r="D94" s="6">
        <v>1</v>
      </c>
      <c r="E94" s="6">
        <v>1</v>
      </c>
      <c r="F94" s="5">
        <v>43951.06</v>
      </c>
      <c r="G94" s="5">
        <v>57510.64</v>
      </c>
      <c r="H94" s="4">
        <f>IFERROR(E94/D94,"")</f>
        <v>1</v>
      </c>
      <c r="I94" s="4">
        <f>IFERROR(G94/F94,"")</f>
        <v>1.3085154260215794</v>
      </c>
    </row>
    <row r="95" spans="1:9" x14ac:dyDescent="0.45">
      <c r="A95" s="2" t="s">
        <v>22</v>
      </c>
      <c r="B95" s="2" t="s">
        <v>46</v>
      </c>
      <c r="C95" s="2" t="s">
        <v>35</v>
      </c>
      <c r="D95" s="6">
        <v>4</v>
      </c>
      <c r="E95" s="6">
        <v>2</v>
      </c>
      <c r="F95" s="5">
        <v>666030.75</v>
      </c>
      <c r="G95" s="5">
        <v>299100</v>
      </c>
      <c r="H95" s="4">
        <f>IFERROR(E95/D95,"")</f>
        <v>0.5</v>
      </c>
      <c r="I95" s="4">
        <f>IFERROR(G95/F95,"")</f>
        <v>0.44907836462505674</v>
      </c>
    </row>
    <row r="96" spans="1:9" x14ac:dyDescent="0.45">
      <c r="A96" s="2" t="s">
        <v>22</v>
      </c>
      <c r="B96" s="2" t="s">
        <v>46</v>
      </c>
      <c r="C96" s="2" t="s">
        <v>36</v>
      </c>
      <c r="D96" s="6">
        <v>0</v>
      </c>
      <c r="E96" s="6">
        <v>0</v>
      </c>
      <c r="F96" s="5">
        <v>0</v>
      </c>
      <c r="G96" s="5">
        <v>0</v>
      </c>
      <c r="H96" s="4" t="str">
        <f>IFERROR(E96/D96,"")</f>
        <v/>
      </c>
      <c r="I96" s="4" t="str">
        <f>IFERROR(G96/F96,"")</f>
        <v/>
      </c>
    </row>
    <row r="97" spans="1:9" x14ac:dyDescent="0.45">
      <c r="A97" s="2" t="s">
        <v>22</v>
      </c>
      <c r="B97" s="2" t="s">
        <v>46</v>
      </c>
      <c r="C97" s="2" t="s">
        <v>37</v>
      </c>
      <c r="D97" s="6">
        <v>10</v>
      </c>
      <c r="E97" s="6">
        <v>7</v>
      </c>
      <c r="F97" s="5">
        <v>786826.08</v>
      </c>
      <c r="G97" s="5">
        <v>624445.80000000005</v>
      </c>
      <c r="H97" s="4">
        <f>IFERROR(E97/D97,"")</f>
        <v>0.7</v>
      </c>
      <c r="I97" s="4">
        <f>IFERROR(G97/F97,"")</f>
        <v>0.79362621025474911</v>
      </c>
    </row>
    <row r="98" spans="1:9" x14ac:dyDescent="0.45">
      <c r="A98" s="2" t="s">
        <v>22</v>
      </c>
      <c r="B98" s="2" t="s">
        <v>46</v>
      </c>
      <c r="C98" s="2" t="s">
        <v>38</v>
      </c>
      <c r="D98" s="6">
        <v>9</v>
      </c>
      <c r="E98" s="6">
        <v>3</v>
      </c>
      <c r="F98" s="5">
        <v>874730.7</v>
      </c>
      <c r="G98" s="5">
        <v>908328.75</v>
      </c>
      <c r="H98" s="4">
        <f>IFERROR(E98/D98,"")</f>
        <v>0.33333333333333331</v>
      </c>
      <c r="I98" s="4">
        <f>IFERROR(G98/F98,"")</f>
        <v>1.0384095928038195</v>
      </c>
    </row>
    <row r="99" spans="1:9" x14ac:dyDescent="0.45">
      <c r="A99" s="2" t="s">
        <v>22</v>
      </c>
      <c r="B99" s="2" t="s">
        <v>46</v>
      </c>
      <c r="C99" s="2" t="s">
        <v>39</v>
      </c>
      <c r="D99" s="6">
        <v>10</v>
      </c>
      <c r="E99" s="6">
        <v>6</v>
      </c>
      <c r="F99" s="5">
        <v>913942.22</v>
      </c>
      <c r="G99" s="5">
        <v>769355</v>
      </c>
      <c r="H99" s="4">
        <f>IFERROR(E99/D99,"")</f>
        <v>0.6</v>
      </c>
      <c r="I99" s="4">
        <f>IFERROR(G99/F99,"")</f>
        <v>0.84179829223777414</v>
      </c>
    </row>
    <row r="100" spans="1:9" x14ac:dyDescent="0.45">
      <c r="A100" s="2" t="s">
        <v>22</v>
      </c>
      <c r="B100" s="2" t="s">
        <v>46</v>
      </c>
      <c r="C100" s="2" t="s">
        <v>40</v>
      </c>
      <c r="D100" s="6">
        <v>0</v>
      </c>
      <c r="E100" s="6">
        <v>0</v>
      </c>
      <c r="F100" s="5">
        <v>0</v>
      </c>
      <c r="G100" s="5">
        <v>0</v>
      </c>
      <c r="H100" s="4" t="str">
        <f>IFERROR(E100/D100,"")</f>
        <v/>
      </c>
      <c r="I100" s="4" t="str">
        <f>IFERROR(G100/F100,"")</f>
        <v/>
      </c>
    </row>
    <row r="101" spans="1:9" x14ac:dyDescent="0.45">
      <c r="A101" s="2" t="s">
        <v>22</v>
      </c>
      <c r="B101" s="2" t="s">
        <v>46</v>
      </c>
      <c r="C101" s="2" t="s">
        <v>41</v>
      </c>
      <c r="D101" s="6">
        <v>0</v>
      </c>
      <c r="E101" s="6">
        <v>0</v>
      </c>
      <c r="F101" s="5">
        <v>0</v>
      </c>
      <c r="G101" s="5">
        <v>0</v>
      </c>
      <c r="H101" s="4" t="str">
        <f>IFERROR(E101/D101,"")</f>
        <v/>
      </c>
      <c r="I101" s="4" t="str">
        <f>IFERROR(G101/F101,"")</f>
        <v/>
      </c>
    </row>
    <row r="102" spans="1:9" x14ac:dyDescent="0.45">
      <c r="A102" s="2" t="s">
        <v>23</v>
      </c>
      <c r="B102" s="2" t="s">
        <v>46</v>
      </c>
      <c r="C102" s="2" t="s">
        <v>32</v>
      </c>
      <c r="D102" s="6">
        <v>8</v>
      </c>
      <c r="E102" s="6">
        <v>3</v>
      </c>
      <c r="F102" s="5">
        <v>577928.5</v>
      </c>
      <c r="G102" s="5">
        <v>358894</v>
      </c>
      <c r="H102" s="4">
        <f>IFERROR(E102/D102,"")</f>
        <v>0.375</v>
      </c>
      <c r="I102" s="4">
        <f>IFERROR(G102/F102,"")</f>
        <v>0.6210006947226171</v>
      </c>
    </row>
    <row r="103" spans="1:9" x14ac:dyDescent="0.45">
      <c r="A103" s="2" t="s">
        <v>23</v>
      </c>
      <c r="B103" s="2" t="s">
        <v>46</v>
      </c>
      <c r="C103" s="2" t="s">
        <v>33</v>
      </c>
      <c r="D103" s="6">
        <v>0</v>
      </c>
      <c r="E103" s="6">
        <v>0</v>
      </c>
      <c r="F103" s="5">
        <v>0</v>
      </c>
      <c r="G103" s="5">
        <v>0</v>
      </c>
      <c r="H103" s="4" t="str">
        <f>IFERROR(E103/D103,"")</f>
        <v/>
      </c>
      <c r="I103" s="4" t="str">
        <f>IFERROR(G103/F103,"")</f>
        <v/>
      </c>
    </row>
    <row r="104" spans="1:9" x14ac:dyDescent="0.45">
      <c r="A104" s="2" t="s">
        <v>23</v>
      </c>
      <c r="B104" s="2" t="s">
        <v>46</v>
      </c>
      <c r="C104" s="2" t="s">
        <v>34</v>
      </c>
      <c r="D104" s="6">
        <v>3</v>
      </c>
      <c r="E104" s="6">
        <v>2</v>
      </c>
      <c r="F104" s="5">
        <v>330376.46999999997</v>
      </c>
      <c r="G104" s="5">
        <v>156480</v>
      </c>
      <c r="H104" s="4">
        <f>IFERROR(E104/D104,"")</f>
        <v>0.66666666666666663</v>
      </c>
      <c r="I104" s="4">
        <f>IFERROR(G104/F104,"")</f>
        <v>0.47364147937048912</v>
      </c>
    </row>
    <row r="105" spans="1:9" x14ac:dyDescent="0.45">
      <c r="A105" s="2" t="s">
        <v>23</v>
      </c>
      <c r="B105" s="2" t="s">
        <v>46</v>
      </c>
      <c r="C105" s="2" t="s">
        <v>35</v>
      </c>
      <c r="D105" s="6">
        <v>0</v>
      </c>
      <c r="E105" s="6">
        <v>0</v>
      </c>
      <c r="F105" s="5">
        <v>0</v>
      </c>
      <c r="G105" s="5">
        <v>0</v>
      </c>
      <c r="H105" s="4" t="str">
        <f>IFERROR(E105/D105,"")</f>
        <v/>
      </c>
      <c r="I105" s="4" t="str">
        <f>IFERROR(G105/F105,"")</f>
        <v/>
      </c>
    </row>
    <row r="106" spans="1:9" x14ac:dyDescent="0.45">
      <c r="A106" s="2" t="s">
        <v>23</v>
      </c>
      <c r="B106" s="2" t="s">
        <v>46</v>
      </c>
      <c r="C106" s="2" t="s">
        <v>36</v>
      </c>
      <c r="D106" s="6">
        <v>0</v>
      </c>
      <c r="E106" s="6">
        <v>0</v>
      </c>
      <c r="F106" s="5">
        <v>0</v>
      </c>
      <c r="G106" s="5">
        <v>0</v>
      </c>
      <c r="H106" s="4" t="str">
        <f>IFERROR(E106/D106,"")</f>
        <v/>
      </c>
      <c r="I106" s="4" t="str">
        <f>IFERROR(G106/F106,"")</f>
        <v/>
      </c>
    </row>
    <row r="107" spans="1:9" x14ac:dyDescent="0.45">
      <c r="A107" s="2" t="s">
        <v>23</v>
      </c>
      <c r="B107" s="2" t="s">
        <v>46</v>
      </c>
      <c r="C107" s="2" t="s">
        <v>37</v>
      </c>
      <c r="D107" s="6">
        <v>0</v>
      </c>
      <c r="E107" s="6">
        <v>0</v>
      </c>
      <c r="F107" s="5">
        <v>0</v>
      </c>
      <c r="G107" s="5">
        <v>0</v>
      </c>
      <c r="H107" s="4" t="str">
        <f>IFERROR(E107/D107,"")</f>
        <v/>
      </c>
      <c r="I107" s="4" t="str">
        <f>IFERROR(G107/F107,"")</f>
        <v/>
      </c>
    </row>
    <row r="108" spans="1:9" x14ac:dyDescent="0.45">
      <c r="A108" s="2" t="s">
        <v>23</v>
      </c>
      <c r="B108" s="2" t="s">
        <v>46</v>
      </c>
      <c r="C108" s="2" t="s">
        <v>38</v>
      </c>
      <c r="D108" s="6">
        <v>10</v>
      </c>
      <c r="E108" s="6">
        <v>4</v>
      </c>
      <c r="F108" s="5">
        <v>271490</v>
      </c>
      <c r="G108" s="5">
        <v>227030</v>
      </c>
      <c r="H108" s="4">
        <f>IFERROR(E108/D108,"")</f>
        <v>0.4</v>
      </c>
      <c r="I108" s="4">
        <f>IFERROR(G108/F108,"")</f>
        <v>0.83623706213856863</v>
      </c>
    </row>
    <row r="109" spans="1:9" x14ac:dyDescent="0.45">
      <c r="A109" s="2" t="s">
        <v>23</v>
      </c>
      <c r="B109" s="2" t="s">
        <v>46</v>
      </c>
      <c r="C109" s="2" t="s">
        <v>39</v>
      </c>
      <c r="D109" s="6">
        <v>3</v>
      </c>
      <c r="E109" s="6">
        <v>1</v>
      </c>
      <c r="F109" s="5">
        <v>387345</v>
      </c>
      <c r="G109" s="5">
        <v>69190</v>
      </c>
      <c r="H109" s="4">
        <f>IFERROR(E109/D109,"")</f>
        <v>0.33333333333333331</v>
      </c>
      <c r="I109" s="4">
        <f>IFERROR(G109/F109,"")</f>
        <v>0.17862628922536758</v>
      </c>
    </row>
    <row r="110" spans="1:9" x14ac:dyDescent="0.45">
      <c r="A110" s="2" t="s">
        <v>23</v>
      </c>
      <c r="B110" s="2" t="s">
        <v>46</v>
      </c>
      <c r="C110" s="2" t="s">
        <v>40</v>
      </c>
      <c r="D110" s="6">
        <v>0</v>
      </c>
      <c r="E110" s="6">
        <v>0</v>
      </c>
      <c r="F110" s="5">
        <v>0</v>
      </c>
      <c r="G110" s="5">
        <v>0</v>
      </c>
      <c r="H110" s="4" t="str">
        <f>IFERROR(E110/D110,"")</f>
        <v/>
      </c>
      <c r="I110" s="4" t="str">
        <f>IFERROR(G110/F110,"")</f>
        <v/>
      </c>
    </row>
    <row r="111" spans="1:9" x14ac:dyDescent="0.45">
      <c r="A111" s="2" t="s">
        <v>23</v>
      </c>
      <c r="B111" s="2" t="s">
        <v>46</v>
      </c>
      <c r="C111" s="2" t="s">
        <v>41</v>
      </c>
      <c r="D111" s="6">
        <v>0</v>
      </c>
      <c r="E111" s="6">
        <v>0</v>
      </c>
      <c r="F111" s="5">
        <v>0</v>
      </c>
      <c r="G111" s="5">
        <v>0</v>
      </c>
      <c r="H111" s="4" t="str">
        <f>IFERROR(E111/D111,"")</f>
        <v/>
      </c>
      <c r="I111" s="4" t="str">
        <f>IFERROR(G111/F111,"")</f>
        <v/>
      </c>
    </row>
    <row r="112" spans="1:9" x14ac:dyDescent="0.45">
      <c r="A112" s="2" t="s">
        <v>24</v>
      </c>
      <c r="B112" s="2" t="s">
        <v>46</v>
      </c>
      <c r="C112" s="2" t="s">
        <v>32</v>
      </c>
      <c r="D112" s="6">
        <v>7</v>
      </c>
      <c r="E112" s="6">
        <v>1</v>
      </c>
      <c r="F112" s="5">
        <v>169720</v>
      </c>
      <c r="G112" s="5">
        <v>55000</v>
      </c>
      <c r="H112" s="4">
        <f>IFERROR(E112/D112,"")</f>
        <v>0.14285714285714285</v>
      </c>
      <c r="I112" s="4">
        <f>IFERROR(G112/F112,"")</f>
        <v>0.32406316285646947</v>
      </c>
    </row>
    <row r="113" spans="1:9" x14ac:dyDescent="0.45">
      <c r="A113" s="2" t="s">
        <v>24</v>
      </c>
      <c r="B113" s="2" t="s">
        <v>46</v>
      </c>
      <c r="C113" s="2" t="s">
        <v>33</v>
      </c>
      <c r="D113" s="6">
        <v>0</v>
      </c>
      <c r="E113" s="6">
        <v>0</v>
      </c>
      <c r="F113" s="5">
        <v>0</v>
      </c>
      <c r="G113" s="5">
        <v>0</v>
      </c>
      <c r="H113" s="4" t="str">
        <f>IFERROR(E113/D113,"")</f>
        <v/>
      </c>
      <c r="I113" s="4" t="str">
        <f>IFERROR(G113/F113,"")</f>
        <v/>
      </c>
    </row>
    <row r="114" spans="1:9" x14ac:dyDescent="0.45">
      <c r="A114" s="2" t="s">
        <v>24</v>
      </c>
      <c r="B114" s="2" t="s">
        <v>46</v>
      </c>
      <c r="C114" s="2" t="s">
        <v>34</v>
      </c>
      <c r="D114" s="6">
        <v>6</v>
      </c>
      <c r="E114" s="6">
        <v>2</v>
      </c>
      <c r="F114" s="5">
        <v>488381.91</v>
      </c>
      <c r="G114" s="5">
        <v>133822.34</v>
      </c>
      <c r="H114" s="4">
        <f>IFERROR(E114/D114,"")</f>
        <v>0.33333333333333331</v>
      </c>
      <c r="I114" s="4">
        <f>IFERROR(G114/F114,"")</f>
        <v>0.27401166435505364</v>
      </c>
    </row>
    <row r="115" spans="1:9" x14ac:dyDescent="0.45">
      <c r="A115" s="2" t="s">
        <v>24</v>
      </c>
      <c r="B115" s="2" t="s">
        <v>46</v>
      </c>
      <c r="C115" s="2" t="s">
        <v>35</v>
      </c>
      <c r="D115" s="6">
        <v>1</v>
      </c>
      <c r="E115" s="6">
        <v>0</v>
      </c>
      <c r="F115" s="5">
        <v>50640</v>
      </c>
      <c r="G115" s="5">
        <v>0</v>
      </c>
      <c r="H115" s="4">
        <f>IFERROR(E115/D115,"")</f>
        <v>0</v>
      </c>
      <c r="I115" s="4">
        <f>IFERROR(G115/F115,"")</f>
        <v>0</v>
      </c>
    </row>
    <row r="116" spans="1:9" x14ac:dyDescent="0.45">
      <c r="A116" s="2" t="s">
        <v>24</v>
      </c>
      <c r="B116" s="2" t="s">
        <v>46</v>
      </c>
      <c r="C116" s="2" t="s">
        <v>36</v>
      </c>
      <c r="D116" s="6">
        <v>1</v>
      </c>
      <c r="E116" s="6">
        <v>1</v>
      </c>
      <c r="F116" s="5">
        <v>98492</v>
      </c>
      <c r="G116" s="5">
        <v>109442.52</v>
      </c>
      <c r="H116" s="4">
        <f>IFERROR(E116/D116,"")</f>
        <v>1</v>
      </c>
      <c r="I116" s="4">
        <f>IFERROR(G116/F116,"")</f>
        <v>1.1111818218738578</v>
      </c>
    </row>
    <row r="117" spans="1:9" x14ac:dyDescent="0.45">
      <c r="A117" s="2" t="s">
        <v>24</v>
      </c>
      <c r="B117" s="2" t="s">
        <v>46</v>
      </c>
      <c r="C117" s="2" t="s">
        <v>37</v>
      </c>
      <c r="D117" s="6">
        <v>4</v>
      </c>
      <c r="E117" s="6">
        <v>1</v>
      </c>
      <c r="F117" s="5">
        <v>113060</v>
      </c>
      <c r="G117" s="5">
        <v>67850</v>
      </c>
      <c r="H117" s="4">
        <f>IFERROR(E117/D117,"")</f>
        <v>0.25</v>
      </c>
      <c r="I117" s="4">
        <f>IFERROR(G117/F117,"")</f>
        <v>0.60012382805589948</v>
      </c>
    </row>
    <row r="118" spans="1:9" x14ac:dyDescent="0.45">
      <c r="A118" s="2" t="s">
        <v>24</v>
      </c>
      <c r="B118" s="2" t="s">
        <v>46</v>
      </c>
      <c r="C118" s="2" t="s">
        <v>38</v>
      </c>
      <c r="D118" s="6">
        <v>12</v>
      </c>
      <c r="E118" s="6">
        <v>4</v>
      </c>
      <c r="F118" s="5">
        <v>554051</v>
      </c>
      <c r="G118" s="5">
        <v>200088.3</v>
      </c>
      <c r="H118" s="4">
        <f>IFERROR(E118/D118,"")</f>
        <v>0.33333333333333331</v>
      </c>
      <c r="I118" s="4">
        <f>IFERROR(G118/F118,"")</f>
        <v>0.36113697114525556</v>
      </c>
    </row>
    <row r="119" spans="1:9" x14ac:dyDescent="0.45">
      <c r="A119" s="2" t="s">
        <v>24</v>
      </c>
      <c r="B119" s="2" t="s">
        <v>46</v>
      </c>
      <c r="C119" s="2" t="s">
        <v>39</v>
      </c>
      <c r="D119" s="6">
        <v>9</v>
      </c>
      <c r="E119" s="6">
        <v>5</v>
      </c>
      <c r="F119" s="5">
        <v>960450</v>
      </c>
      <c r="G119" s="5">
        <v>759775</v>
      </c>
      <c r="H119" s="4">
        <f>IFERROR(E119/D119,"")</f>
        <v>0.55555555555555558</v>
      </c>
      <c r="I119" s="4">
        <f>IFERROR(G119/F119,"")</f>
        <v>0.79106148159716805</v>
      </c>
    </row>
    <row r="120" spans="1:9" x14ac:dyDescent="0.45">
      <c r="A120" s="2" t="s">
        <v>24</v>
      </c>
      <c r="B120" s="2" t="s">
        <v>46</v>
      </c>
      <c r="C120" s="2" t="s">
        <v>40</v>
      </c>
      <c r="D120" s="6">
        <v>0</v>
      </c>
      <c r="E120" s="6">
        <v>0</v>
      </c>
      <c r="F120" s="5">
        <v>0</v>
      </c>
      <c r="G120" s="5">
        <v>0</v>
      </c>
      <c r="H120" s="4" t="str">
        <f>IFERROR(E120/D120,"")</f>
        <v/>
      </c>
      <c r="I120" s="4" t="str">
        <f>IFERROR(G120/F120,"")</f>
        <v/>
      </c>
    </row>
    <row r="121" spans="1:9" x14ac:dyDescent="0.45">
      <c r="A121" s="2" t="s">
        <v>24</v>
      </c>
      <c r="B121" s="2" t="s">
        <v>46</v>
      </c>
      <c r="C121" s="2" t="s">
        <v>41</v>
      </c>
      <c r="D121" s="6">
        <v>0</v>
      </c>
      <c r="E121" s="6">
        <v>0</v>
      </c>
      <c r="F121" s="5">
        <v>0</v>
      </c>
      <c r="G121" s="5">
        <v>0</v>
      </c>
      <c r="H121" s="4" t="str">
        <f>IFERROR(E121/D121,"")</f>
        <v/>
      </c>
      <c r="I121" s="4" t="str">
        <f>IFERROR(G121/F121,"")</f>
        <v/>
      </c>
    </row>
    <row r="122" spans="1:9" x14ac:dyDescent="0.45">
      <c r="A122" s="2" t="s">
        <v>13</v>
      </c>
      <c r="B122" s="2" t="s">
        <v>47</v>
      </c>
      <c r="C122" s="2" t="s">
        <v>32</v>
      </c>
      <c r="D122" s="6">
        <v>8</v>
      </c>
      <c r="E122" s="6">
        <v>0</v>
      </c>
      <c r="F122" s="5">
        <v>260862</v>
      </c>
      <c r="G122" s="5">
        <v>0</v>
      </c>
      <c r="H122" s="4">
        <f>IFERROR(E122/D122,"")</f>
        <v>0</v>
      </c>
      <c r="I122" s="4">
        <f>IFERROR(G122/F122,"")</f>
        <v>0</v>
      </c>
    </row>
    <row r="123" spans="1:9" x14ac:dyDescent="0.45">
      <c r="A123" s="2" t="s">
        <v>13</v>
      </c>
      <c r="B123" s="2" t="s">
        <v>47</v>
      </c>
      <c r="C123" s="2" t="s">
        <v>33</v>
      </c>
      <c r="D123" s="6">
        <v>1</v>
      </c>
      <c r="E123" s="6">
        <v>0</v>
      </c>
      <c r="F123" s="5">
        <v>52240</v>
      </c>
      <c r="G123" s="5">
        <v>0</v>
      </c>
      <c r="H123" s="4">
        <f>IFERROR(E123/D123,"")</f>
        <v>0</v>
      </c>
      <c r="I123" s="4">
        <f>IFERROR(G123/F123,"")</f>
        <v>0</v>
      </c>
    </row>
    <row r="124" spans="1:9" x14ac:dyDescent="0.45">
      <c r="A124" s="2" t="s">
        <v>13</v>
      </c>
      <c r="B124" s="2" t="s">
        <v>47</v>
      </c>
      <c r="C124" s="2" t="s">
        <v>34</v>
      </c>
      <c r="D124" s="6">
        <v>0</v>
      </c>
      <c r="E124" s="6">
        <v>0</v>
      </c>
      <c r="F124" s="5">
        <v>0</v>
      </c>
      <c r="G124" s="5">
        <v>0</v>
      </c>
      <c r="H124" s="4" t="str">
        <f>IFERROR(E124/D124,"")</f>
        <v/>
      </c>
      <c r="I124" s="4" t="str">
        <f>IFERROR(G124/F124,"")</f>
        <v/>
      </c>
    </row>
    <row r="125" spans="1:9" x14ac:dyDescent="0.45">
      <c r="A125" s="2" t="s">
        <v>13</v>
      </c>
      <c r="B125" s="2" t="s">
        <v>47</v>
      </c>
      <c r="C125" s="2" t="s">
        <v>35</v>
      </c>
      <c r="D125" s="6">
        <v>2</v>
      </c>
      <c r="E125" s="6">
        <v>0</v>
      </c>
      <c r="F125" s="5">
        <v>41025</v>
      </c>
      <c r="G125" s="5">
        <v>0</v>
      </c>
      <c r="H125" s="4">
        <f>IFERROR(E125/D125,"")</f>
        <v>0</v>
      </c>
      <c r="I125" s="4">
        <f>IFERROR(G125/F125,"")</f>
        <v>0</v>
      </c>
    </row>
    <row r="126" spans="1:9" x14ac:dyDescent="0.45">
      <c r="A126" s="2" t="s">
        <v>13</v>
      </c>
      <c r="B126" s="2" t="s">
        <v>47</v>
      </c>
      <c r="C126" s="2" t="s">
        <v>36</v>
      </c>
      <c r="D126" s="6">
        <v>0</v>
      </c>
      <c r="E126" s="6">
        <v>0</v>
      </c>
      <c r="F126" s="5">
        <v>0</v>
      </c>
      <c r="G126" s="5">
        <v>0</v>
      </c>
      <c r="H126" s="4" t="str">
        <f>IFERROR(E126/D126,"")</f>
        <v/>
      </c>
      <c r="I126" s="4" t="str">
        <f>IFERROR(G126/F126,"")</f>
        <v/>
      </c>
    </row>
    <row r="127" spans="1:9" x14ac:dyDescent="0.45">
      <c r="A127" s="2" t="s">
        <v>13</v>
      </c>
      <c r="B127" s="2" t="s">
        <v>47</v>
      </c>
      <c r="C127" s="2" t="s">
        <v>37</v>
      </c>
      <c r="D127" s="6">
        <v>1</v>
      </c>
      <c r="E127" s="6">
        <v>0</v>
      </c>
      <c r="F127" s="5">
        <v>82800</v>
      </c>
      <c r="G127" s="5">
        <v>0</v>
      </c>
      <c r="H127" s="4">
        <f>IFERROR(E127/D127,"")</f>
        <v>0</v>
      </c>
      <c r="I127" s="4">
        <f>IFERROR(G127/F127,"")</f>
        <v>0</v>
      </c>
    </row>
    <row r="128" spans="1:9" x14ac:dyDescent="0.45">
      <c r="A128" s="2" t="s">
        <v>13</v>
      </c>
      <c r="B128" s="2" t="s">
        <v>47</v>
      </c>
      <c r="C128" s="2" t="s">
        <v>38</v>
      </c>
      <c r="D128" s="6">
        <v>0</v>
      </c>
      <c r="E128" s="6">
        <v>0</v>
      </c>
      <c r="F128" s="5">
        <v>0</v>
      </c>
      <c r="G128" s="5">
        <v>0</v>
      </c>
      <c r="H128" s="4" t="str">
        <f>IFERROR(E128/D128,"")</f>
        <v/>
      </c>
      <c r="I128" s="4" t="str">
        <f>IFERROR(G128/F128,"")</f>
        <v/>
      </c>
    </row>
    <row r="129" spans="1:9" x14ac:dyDescent="0.45">
      <c r="A129" s="2" t="s">
        <v>13</v>
      </c>
      <c r="B129" s="2" t="s">
        <v>47</v>
      </c>
      <c r="C129" s="2" t="s">
        <v>39</v>
      </c>
      <c r="D129" s="6">
        <v>2</v>
      </c>
      <c r="E129" s="6">
        <v>1</v>
      </c>
      <c r="F129" s="5">
        <v>108095</v>
      </c>
      <c r="G129" s="5">
        <v>73380</v>
      </c>
      <c r="H129" s="4">
        <f>IFERROR(E129/D129,"")</f>
        <v>0.5</v>
      </c>
      <c r="I129" s="4">
        <f>IFERROR(G129/F129,"")</f>
        <v>0.67884731023636613</v>
      </c>
    </row>
    <row r="130" spans="1:9" x14ac:dyDescent="0.45">
      <c r="A130" s="2" t="s">
        <v>13</v>
      </c>
      <c r="B130" s="2" t="s">
        <v>47</v>
      </c>
      <c r="C130" s="2" t="s">
        <v>40</v>
      </c>
      <c r="D130" s="6">
        <v>0</v>
      </c>
      <c r="E130" s="6">
        <v>0</v>
      </c>
      <c r="F130" s="5">
        <v>0</v>
      </c>
      <c r="G130" s="5">
        <v>0</v>
      </c>
      <c r="H130" s="4" t="str">
        <f>IFERROR(E130/D130,"")</f>
        <v/>
      </c>
      <c r="I130" s="4" t="str">
        <f>IFERROR(G130/F130,"")</f>
        <v/>
      </c>
    </row>
    <row r="131" spans="1:9" x14ac:dyDescent="0.45">
      <c r="A131" s="2" t="s">
        <v>13</v>
      </c>
      <c r="B131" s="2" t="s">
        <v>47</v>
      </c>
      <c r="C131" s="2" t="s">
        <v>41</v>
      </c>
      <c r="D131" s="6">
        <v>0</v>
      </c>
      <c r="E131" s="6">
        <v>0</v>
      </c>
      <c r="F131" s="5">
        <v>0</v>
      </c>
      <c r="G131" s="5">
        <v>0</v>
      </c>
      <c r="H131" s="4" t="str">
        <f>IFERROR(E131/D131,"")</f>
        <v/>
      </c>
      <c r="I131" s="4" t="str">
        <f>IFERROR(G131/F131,"")</f>
        <v/>
      </c>
    </row>
    <row r="132" spans="1:9" x14ac:dyDescent="0.45">
      <c r="A132" s="2" t="s">
        <v>14</v>
      </c>
      <c r="B132" s="2" t="s">
        <v>47</v>
      </c>
      <c r="C132" s="2" t="s">
        <v>32</v>
      </c>
      <c r="D132" s="6">
        <v>16</v>
      </c>
      <c r="E132" s="6">
        <v>2</v>
      </c>
      <c r="F132" s="5">
        <v>891335</v>
      </c>
      <c r="G132" s="5">
        <v>166275</v>
      </c>
      <c r="H132" s="4">
        <f>IFERROR(E132/D132,"")</f>
        <v>0.125</v>
      </c>
      <c r="I132" s="4">
        <f>IFERROR(G132/F132,"")</f>
        <v>0.18654602366113751</v>
      </c>
    </row>
    <row r="133" spans="1:9" x14ac:dyDescent="0.45">
      <c r="A133" s="2" t="s">
        <v>14</v>
      </c>
      <c r="B133" s="2" t="s">
        <v>47</v>
      </c>
      <c r="C133" s="2" t="s">
        <v>33</v>
      </c>
      <c r="D133" s="6">
        <v>12</v>
      </c>
      <c r="E133" s="6">
        <v>0</v>
      </c>
      <c r="F133" s="5">
        <v>1229435</v>
      </c>
      <c r="G133" s="5">
        <v>0</v>
      </c>
      <c r="H133" s="4">
        <f>IFERROR(E133/D133,"")</f>
        <v>0</v>
      </c>
      <c r="I133" s="4">
        <f>IFERROR(G133/F133,"")</f>
        <v>0</v>
      </c>
    </row>
    <row r="134" spans="1:9" x14ac:dyDescent="0.45">
      <c r="A134" s="2" t="s">
        <v>14</v>
      </c>
      <c r="B134" s="2" t="s">
        <v>47</v>
      </c>
      <c r="C134" s="2" t="s">
        <v>34</v>
      </c>
      <c r="D134" s="6">
        <v>0</v>
      </c>
      <c r="E134" s="6">
        <v>0</v>
      </c>
      <c r="F134" s="5">
        <v>0</v>
      </c>
      <c r="G134" s="5">
        <v>0</v>
      </c>
      <c r="H134" s="4" t="str">
        <f>IFERROR(E134/D134,"")</f>
        <v/>
      </c>
      <c r="I134" s="4" t="str">
        <f>IFERROR(G134/F134,"")</f>
        <v/>
      </c>
    </row>
    <row r="135" spans="1:9" x14ac:dyDescent="0.45">
      <c r="A135" s="2" t="s">
        <v>14</v>
      </c>
      <c r="B135" s="2" t="s">
        <v>47</v>
      </c>
      <c r="C135" s="2" t="s">
        <v>35</v>
      </c>
      <c r="D135" s="6">
        <v>6</v>
      </c>
      <c r="E135" s="6">
        <v>0</v>
      </c>
      <c r="F135" s="5">
        <v>147140</v>
      </c>
      <c r="G135" s="5">
        <v>0</v>
      </c>
      <c r="H135" s="4">
        <f>IFERROR(E135/D135,"")</f>
        <v>0</v>
      </c>
      <c r="I135" s="4">
        <f>IFERROR(G135/F135,"")</f>
        <v>0</v>
      </c>
    </row>
    <row r="136" spans="1:9" x14ac:dyDescent="0.45">
      <c r="A136" s="2" t="s">
        <v>14</v>
      </c>
      <c r="B136" s="2" t="s">
        <v>47</v>
      </c>
      <c r="C136" s="2" t="s">
        <v>36</v>
      </c>
      <c r="D136" s="6">
        <v>0</v>
      </c>
      <c r="E136" s="6">
        <v>0</v>
      </c>
      <c r="F136" s="5">
        <v>0</v>
      </c>
      <c r="G136" s="5">
        <v>0</v>
      </c>
      <c r="H136" s="4" t="str">
        <f>IFERROR(E136/D136,"")</f>
        <v/>
      </c>
      <c r="I136" s="4" t="str">
        <f>IFERROR(G136/F136,"")</f>
        <v/>
      </c>
    </row>
    <row r="137" spans="1:9" x14ac:dyDescent="0.45">
      <c r="A137" s="2" t="s">
        <v>14</v>
      </c>
      <c r="B137" s="2" t="s">
        <v>47</v>
      </c>
      <c r="C137" s="2" t="s">
        <v>37</v>
      </c>
      <c r="D137" s="6">
        <v>4</v>
      </c>
      <c r="E137" s="6">
        <v>0</v>
      </c>
      <c r="F137" s="5">
        <v>137125</v>
      </c>
      <c r="G137" s="5">
        <v>0</v>
      </c>
      <c r="H137" s="4">
        <f>IFERROR(E137/D137,"")</f>
        <v>0</v>
      </c>
      <c r="I137" s="4">
        <f>IFERROR(G137/F137,"")</f>
        <v>0</v>
      </c>
    </row>
    <row r="138" spans="1:9" x14ac:dyDescent="0.45">
      <c r="A138" s="2" t="s">
        <v>14</v>
      </c>
      <c r="B138" s="2" t="s">
        <v>47</v>
      </c>
      <c r="C138" s="2" t="s">
        <v>38</v>
      </c>
      <c r="D138" s="6">
        <v>1</v>
      </c>
      <c r="E138" s="6">
        <v>0</v>
      </c>
      <c r="F138" s="5">
        <v>38295</v>
      </c>
      <c r="G138" s="5">
        <v>0</v>
      </c>
      <c r="H138" s="4">
        <f>IFERROR(E138/D138,"")</f>
        <v>0</v>
      </c>
      <c r="I138" s="4">
        <f>IFERROR(G138/F138,"")</f>
        <v>0</v>
      </c>
    </row>
    <row r="139" spans="1:9" x14ac:dyDescent="0.45">
      <c r="A139" s="2" t="s">
        <v>14</v>
      </c>
      <c r="B139" s="2" t="s">
        <v>47</v>
      </c>
      <c r="C139" s="2" t="s">
        <v>39</v>
      </c>
      <c r="D139" s="6">
        <v>5</v>
      </c>
      <c r="E139" s="6">
        <v>2</v>
      </c>
      <c r="F139" s="5">
        <v>446712.76</v>
      </c>
      <c r="G139" s="5">
        <v>96345</v>
      </c>
      <c r="H139" s="4">
        <f>IFERROR(E139/D139,"")</f>
        <v>0.4</v>
      </c>
      <c r="I139" s="4">
        <f>IFERROR(G139/F139,"")</f>
        <v>0.21567550476955258</v>
      </c>
    </row>
    <row r="140" spans="1:9" x14ac:dyDescent="0.45">
      <c r="A140" s="2" t="s">
        <v>14</v>
      </c>
      <c r="B140" s="2" t="s">
        <v>47</v>
      </c>
      <c r="C140" s="2" t="s">
        <v>40</v>
      </c>
      <c r="D140" s="6">
        <v>0</v>
      </c>
      <c r="E140" s="6">
        <v>0</v>
      </c>
      <c r="F140" s="5">
        <v>0</v>
      </c>
      <c r="G140" s="5">
        <v>0</v>
      </c>
      <c r="H140" s="4" t="str">
        <f>IFERROR(E140/D140,"")</f>
        <v/>
      </c>
      <c r="I140" s="4" t="str">
        <f>IFERROR(G140/F140,"")</f>
        <v/>
      </c>
    </row>
    <row r="141" spans="1:9" x14ac:dyDescent="0.45">
      <c r="A141" s="2" t="s">
        <v>14</v>
      </c>
      <c r="B141" s="2" t="s">
        <v>47</v>
      </c>
      <c r="C141" s="2" t="s">
        <v>41</v>
      </c>
      <c r="D141" s="6">
        <v>0</v>
      </c>
      <c r="E141" s="6">
        <v>0</v>
      </c>
      <c r="F141" s="5">
        <v>0</v>
      </c>
      <c r="G141" s="5">
        <v>0</v>
      </c>
      <c r="H141" s="4" t="str">
        <f>IFERROR(E141/D141,"")</f>
        <v/>
      </c>
      <c r="I141" s="4" t="str">
        <f>IFERROR(G141/F141,"")</f>
        <v/>
      </c>
    </row>
    <row r="142" spans="1:9" x14ac:dyDescent="0.45">
      <c r="A142" s="2" t="s">
        <v>15</v>
      </c>
      <c r="B142" s="2" t="s">
        <v>47</v>
      </c>
      <c r="C142" s="2" t="s">
        <v>32</v>
      </c>
      <c r="D142" s="6">
        <v>3</v>
      </c>
      <c r="E142" s="6">
        <v>1</v>
      </c>
      <c r="F142" s="5">
        <v>95750</v>
      </c>
      <c r="G142" s="5">
        <v>67774.080000000002</v>
      </c>
      <c r="H142" s="4">
        <f>IFERROR(E142/D142,"")</f>
        <v>0.33333333333333331</v>
      </c>
      <c r="I142" s="4">
        <f>IFERROR(G142/F142,"")</f>
        <v>0.70782328981723242</v>
      </c>
    </row>
    <row r="143" spans="1:9" x14ac:dyDescent="0.45">
      <c r="A143" s="2" t="s">
        <v>15</v>
      </c>
      <c r="B143" s="2" t="s">
        <v>47</v>
      </c>
      <c r="C143" s="2" t="s">
        <v>33</v>
      </c>
      <c r="D143" s="6">
        <v>0</v>
      </c>
      <c r="E143" s="6">
        <v>0</v>
      </c>
      <c r="F143" s="5">
        <v>0</v>
      </c>
      <c r="G143" s="5">
        <v>0</v>
      </c>
      <c r="H143" s="4" t="str">
        <f>IFERROR(E143/D143,"")</f>
        <v/>
      </c>
      <c r="I143" s="4" t="str">
        <f>IFERROR(G143/F143,"")</f>
        <v/>
      </c>
    </row>
    <row r="144" spans="1:9" x14ac:dyDescent="0.45">
      <c r="A144" s="2" t="s">
        <v>15</v>
      </c>
      <c r="B144" s="2" t="s">
        <v>47</v>
      </c>
      <c r="C144" s="2" t="s">
        <v>34</v>
      </c>
      <c r="D144" s="6">
        <v>1</v>
      </c>
      <c r="E144" s="6">
        <v>0</v>
      </c>
      <c r="F144" s="5">
        <v>0</v>
      </c>
      <c r="G144" s="5">
        <v>0</v>
      </c>
      <c r="H144" s="4">
        <f>IFERROR(E144/D144,"")</f>
        <v>0</v>
      </c>
      <c r="I144" s="4" t="str">
        <f>IFERROR(G144/F144,"")</f>
        <v/>
      </c>
    </row>
    <row r="145" spans="1:9" x14ac:dyDescent="0.45">
      <c r="A145" s="2" t="s">
        <v>15</v>
      </c>
      <c r="B145" s="2" t="s">
        <v>47</v>
      </c>
      <c r="C145" s="2" t="s">
        <v>35</v>
      </c>
      <c r="D145" s="6">
        <v>0</v>
      </c>
      <c r="E145" s="6">
        <v>0</v>
      </c>
      <c r="F145" s="5">
        <v>0</v>
      </c>
      <c r="G145" s="5">
        <v>0</v>
      </c>
      <c r="H145" s="4" t="str">
        <f>IFERROR(E145/D145,"")</f>
        <v/>
      </c>
      <c r="I145" s="4" t="str">
        <f>IFERROR(G145/F145,"")</f>
        <v/>
      </c>
    </row>
    <row r="146" spans="1:9" x14ac:dyDescent="0.45">
      <c r="A146" s="2" t="s">
        <v>15</v>
      </c>
      <c r="B146" s="2" t="s">
        <v>47</v>
      </c>
      <c r="C146" s="2" t="s">
        <v>36</v>
      </c>
      <c r="D146" s="6">
        <v>0</v>
      </c>
      <c r="E146" s="6">
        <v>0</v>
      </c>
      <c r="F146" s="5">
        <v>0</v>
      </c>
      <c r="G146" s="5">
        <v>0</v>
      </c>
      <c r="H146" s="4" t="str">
        <f>IFERROR(E146/D146,"")</f>
        <v/>
      </c>
      <c r="I146" s="4" t="str">
        <f>IFERROR(G146/F146,"")</f>
        <v/>
      </c>
    </row>
    <row r="147" spans="1:9" x14ac:dyDescent="0.45">
      <c r="A147" s="2" t="s">
        <v>15</v>
      </c>
      <c r="B147" s="2" t="s">
        <v>47</v>
      </c>
      <c r="C147" s="2" t="s">
        <v>37</v>
      </c>
      <c r="D147" s="6">
        <v>4</v>
      </c>
      <c r="E147" s="6">
        <v>0</v>
      </c>
      <c r="F147" s="5">
        <v>193877</v>
      </c>
      <c r="G147" s="5">
        <v>0</v>
      </c>
      <c r="H147" s="4">
        <f>IFERROR(E147/D147,"")</f>
        <v>0</v>
      </c>
      <c r="I147" s="4">
        <f>IFERROR(G147/F147,"")</f>
        <v>0</v>
      </c>
    </row>
    <row r="148" spans="1:9" x14ac:dyDescent="0.45">
      <c r="A148" s="2" t="s">
        <v>15</v>
      </c>
      <c r="B148" s="2" t="s">
        <v>47</v>
      </c>
      <c r="C148" s="2" t="s">
        <v>38</v>
      </c>
      <c r="D148" s="6">
        <v>1</v>
      </c>
      <c r="E148" s="6">
        <v>1</v>
      </c>
      <c r="F148" s="5">
        <v>48000</v>
      </c>
      <c r="G148" s="5">
        <v>55225</v>
      </c>
      <c r="H148" s="4">
        <f>IFERROR(E148/D148,"")</f>
        <v>1</v>
      </c>
      <c r="I148" s="4">
        <f>IFERROR(G148/F148,"")</f>
        <v>1.1505208333333334</v>
      </c>
    </row>
    <row r="149" spans="1:9" x14ac:dyDescent="0.45">
      <c r="A149" s="2" t="s">
        <v>15</v>
      </c>
      <c r="B149" s="2" t="s">
        <v>47</v>
      </c>
      <c r="C149" s="2" t="s">
        <v>39</v>
      </c>
      <c r="D149" s="6">
        <v>5</v>
      </c>
      <c r="E149" s="6">
        <v>0</v>
      </c>
      <c r="F149" s="5">
        <v>423213.5</v>
      </c>
      <c r="G149" s="5">
        <v>0</v>
      </c>
      <c r="H149" s="4">
        <f>IFERROR(E149/D149,"")</f>
        <v>0</v>
      </c>
      <c r="I149" s="4">
        <f>IFERROR(G149/F149,"")</f>
        <v>0</v>
      </c>
    </row>
    <row r="150" spans="1:9" x14ac:dyDescent="0.45">
      <c r="A150" s="2" t="s">
        <v>15</v>
      </c>
      <c r="B150" s="2" t="s">
        <v>47</v>
      </c>
      <c r="C150" s="2" t="s">
        <v>40</v>
      </c>
      <c r="D150" s="6">
        <v>0</v>
      </c>
      <c r="E150" s="6">
        <v>0</v>
      </c>
      <c r="F150" s="5">
        <v>0</v>
      </c>
      <c r="G150" s="5">
        <v>0</v>
      </c>
      <c r="H150" s="4" t="str">
        <f>IFERROR(E150/D150,"")</f>
        <v/>
      </c>
      <c r="I150" s="4" t="str">
        <f>IFERROR(G150/F150,"")</f>
        <v/>
      </c>
    </row>
    <row r="151" spans="1:9" x14ac:dyDescent="0.45">
      <c r="A151" s="2" t="s">
        <v>15</v>
      </c>
      <c r="B151" s="2" t="s">
        <v>47</v>
      </c>
      <c r="C151" s="2" t="s">
        <v>41</v>
      </c>
      <c r="D151" s="6">
        <v>0</v>
      </c>
      <c r="E151" s="6">
        <v>0</v>
      </c>
      <c r="F151" s="5">
        <v>0</v>
      </c>
      <c r="G151" s="5">
        <v>0</v>
      </c>
      <c r="H151" s="4" t="str">
        <f>IFERROR(E151/D151,"")</f>
        <v/>
      </c>
      <c r="I151" s="4" t="str">
        <f>IFERROR(G151/F151,"")</f>
        <v/>
      </c>
    </row>
    <row r="152" spans="1:9" x14ac:dyDescent="0.45">
      <c r="A152" s="2" t="s">
        <v>16</v>
      </c>
      <c r="B152" s="2" t="s">
        <v>47</v>
      </c>
      <c r="C152" s="2" t="s">
        <v>32</v>
      </c>
      <c r="D152" s="6">
        <v>4</v>
      </c>
      <c r="E152" s="6">
        <v>1</v>
      </c>
      <c r="F152" s="5">
        <v>364780</v>
      </c>
      <c r="G152" s="5">
        <v>40200</v>
      </c>
      <c r="H152" s="4">
        <f>IFERROR(E152/D152,"")</f>
        <v>0.25</v>
      </c>
      <c r="I152" s="4">
        <f>IFERROR(G152/F152,"")</f>
        <v>0.11020341027468611</v>
      </c>
    </row>
    <row r="153" spans="1:9" x14ac:dyDescent="0.45">
      <c r="A153" s="2" t="s">
        <v>16</v>
      </c>
      <c r="B153" s="2" t="s">
        <v>47</v>
      </c>
      <c r="C153" s="2" t="s">
        <v>33</v>
      </c>
      <c r="D153" s="6">
        <v>3</v>
      </c>
      <c r="E153" s="6">
        <v>0</v>
      </c>
      <c r="F153" s="5">
        <v>127200</v>
      </c>
      <c r="G153" s="5">
        <v>0</v>
      </c>
      <c r="H153" s="4">
        <f>IFERROR(E153/D153,"")</f>
        <v>0</v>
      </c>
      <c r="I153" s="4">
        <f>IFERROR(G153/F153,"")</f>
        <v>0</v>
      </c>
    </row>
    <row r="154" spans="1:9" x14ac:dyDescent="0.45">
      <c r="A154" s="2" t="s">
        <v>16</v>
      </c>
      <c r="B154" s="2" t="s">
        <v>47</v>
      </c>
      <c r="C154" s="2" t="s">
        <v>34</v>
      </c>
      <c r="D154" s="6">
        <v>1</v>
      </c>
      <c r="E154" s="6">
        <v>0</v>
      </c>
      <c r="F154" s="5">
        <v>0</v>
      </c>
      <c r="G154" s="5">
        <v>0</v>
      </c>
      <c r="H154" s="4">
        <f>IFERROR(E154/D154,"")</f>
        <v>0</v>
      </c>
      <c r="I154" s="4" t="str">
        <f>IFERROR(G154/F154,"")</f>
        <v/>
      </c>
    </row>
    <row r="155" spans="1:9" x14ac:dyDescent="0.45">
      <c r="A155" s="2" t="s">
        <v>16</v>
      </c>
      <c r="B155" s="2" t="s">
        <v>47</v>
      </c>
      <c r="C155" s="2" t="s">
        <v>35</v>
      </c>
      <c r="D155" s="6">
        <v>0</v>
      </c>
      <c r="E155" s="6">
        <v>0</v>
      </c>
      <c r="F155" s="5">
        <v>0</v>
      </c>
      <c r="G155" s="5">
        <v>0</v>
      </c>
      <c r="H155" s="4" t="str">
        <f>IFERROR(E155/D155,"")</f>
        <v/>
      </c>
      <c r="I155" s="4" t="str">
        <f>IFERROR(G155/F155,"")</f>
        <v/>
      </c>
    </row>
    <row r="156" spans="1:9" x14ac:dyDescent="0.45">
      <c r="A156" s="2" t="s">
        <v>16</v>
      </c>
      <c r="B156" s="2" t="s">
        <v>47</v>
      </c>
      <c r="C156" s="2" t="s">
        <v>36</v>
      </c>
      <c r="D156" s="6">
        <v>0</v>
      </c>
      <c r="E156" s="6">
        <v>0</v>
      </c>
      <c r="F156" s="5">
        <v>0</v>
      </c>
      <c r="G156" s="5">
        <v>0</v>
      </c>
      <c r="H156" s="4" t="str">
        <f>IFERROR(E156/D156,"")</f>
        <v/>
      </c>
      <c r="I156" s="4" t="str">
        <f>IFERROR(G156/F156,"")</f>
        <v/>
      </c>
    </row>
    <row r="157" spans="1:9" x14ac:dyDescent="0.45">
      <c r="A157" s="2" t="s">
        <v>16</v>
      </c>
      <c r="B157" s="2" t="s">
        <v>47</v>
      </c>
      <c r="C157" s="2" t="s">
        <v>37</v>
      </c>
      <c r="D157" s="6">
        <v>4</v>
      </c>
      <c r="E157" s="6">
        <v>1</v>
      </c>
      <c r="F157" s="5">
        <v>92925</v>
      </c>
      <c r="G157" s="5">
        <v>17740</v>
      </c>
      <c r="H157" s="4">
        <f>IFERROR(E157/D157,"")</f>
        <v>0.25</v>
      </c>
      <c r="I157" s="4">
        <f>IFERROR(G157/F157,"")</f>
        <v>0.19090664514393327</v>
      </c>
    </row>
    <row r="158" spans="1:9" x14ac:dyDescent="0.45">
      <c r="A158" s="2" t="s">
        <v>16</v>
      </c>
      <c r="B158" s="2" t="s">
        <v>47</v>
      </c>
      <c r="C158" s="2" t="s">
        <v>38</v>
      </c>
      <c r="D158" s="6">
        <v>0</v>
      </c>
      <c r="E158" s="6">
        <v>0</v>
      </c>
      <c r="F158" s="5">
        <v>0</v>
      </c>
      <c r="G158" s="5">
        <v>0</v>
      </c>
      <c r="H158" s="4" t="str">
        <f>IFERROR(E158/D158,"")</f>
        <v/>
      </c>
      <c r="I158" s="4" t="str">
        <f>IFERROR(G158/F158,"")</f>
        <v/>
      </c>
    </row>
    <row r="159" spans="1:9" x14ac:dyDescent="0.45">
      <c r="A159" s="2" t="s">
        <v>16</v>
      </c>
      <c r="B159" s="2" t="s">
        <v>47</v>
      </c>
      <c r="C159" s="2" t="s">
        <v>39</v>
      </c>
      <c r="D159" s="6">
        <v>3</v>
      </c>
      <c r="E159" s="6">
        <v>0</v>
      </c>
      <c r="F159" s="5">
        <v>42830</v>
      </c>
      <c r="G159" s="5">
        <v>0</v>
      </c>
      <c r="H159" s="4">
        <f>IFERROR(E159/D159,"")</f>
        <v>0</v>
      </c>
      <c r="I159" s="4">
        <f>IFERROR(G159/F159,"")</f>
        <v>0</v>
      </c>
    </row>
    <row r="160" spans="1:9" x14ac:dyDescent="0.45">
      <c r="A160" s="2" t="s">
        <v>16</v>
      </c>
      <c r="B160" s="2" t="s">
        <v>47</v>
      </c>
      <c r="C160" s="2" t="s">
        <v>40</v>
      </c>
      <c r="D160" s="6">
        <v>0</v>
      </c>
      <c r="E160" s="6">
        <v>0</v>
      </c>
      <c r="F160" s="5">
        <v>0</v>
      </c>
      <c r="G160" s="5">
        <v>0</v>
      </c>
      <c r="H160" s="4" t="str">
        <f>IFERROR(E160/D160,"")</f>
        <v/>
      </c>
      <c r="I160" s="4" t="str">
        <f>IFERROR(G160/F160,"")</f>
        <v/>
      </c>
    </row>
    <row r="161" spans="1:9" x14ac:dyDescent="0.45">
      <c r="A161" s="2" t="s">
        <v>16</v>
      </c>
      <c r="B161" s="2" t="s">
        <v>47</v>
      </c>
      <c r="C161" s="2" t="s">
        <v>41</v>
      </c>
      <c r="D161" s="6">
        <v>0</v>
      </c>
      <c r="E161" s="6">
        <v>0</v>
      </c>
      <c r="F161" s="5">
        <v>0</v>
      </c>
      <c r="G161" s="5">
        <v>0</v>
      </c>
      <c r="H161" s="4" t="str">
        <f>IFERROR(E161/D161,"")</f>
        <v/>
      </c>
      <c r="I161" s="4" t="str">
        <f>IFERROR(G161/F161,"")</f>
        <v/>
      </c>
    </row>
    <row r="162" spans="1:9" x14ac:dyDescent="0.45">
      <c r="A162" s="2" t="s">
        <v>17</v>
      </c>
      <c r="B162" s="2" t="s">
        <v>47</v>
      </c>
      <c r="C162" s="2" t="s">
        <v>32</v>
      </c>
      <c r="D162" s="6">
        <v>6</v>
      </c>
      <c r="E162" s="6">
        <v>0</v>
      </c>
      <c r="F162" s="5">
        <v>609590.9</v>
      </c>
      <c r="G162" s="5">
        <v>0</v>
      </c>
      <c r="H162" s="4">
        <f>IFERROR(E162/D162,"")</f>
        <v>0</v>
      </c>
      <c r="I162" s="4">
        <f>IFERROR(G162/F162,"")</f>
        <v>0</v>
      </c>
    </row>
    <row r="163" spans="1:9" x14ac:dyDescent="0.45">
      <c r="A163" s="2" t="s">
        <v>17</v>
      </c>
      <c r="B163" s="2" t="s">
        <v>47</v>
      </c>
      <c r="C163" s="2" t="s">
        <v>33</v>
      </c>
      <c r="D163" s="6">
        <v>2</v>
      </c>
      <c r="E163" s="6">
        <v>0</v>
      </c>
      <c r="F163" s="5">
        <v>478740</v>
      </c>
      <c r="G163" s="5">
        <v>0</v>
      </c>
      <c r="H163" s="4">
        <f>IFERROR(E163/D163,"")</f>
        <v>0</v>
      </c>
      <c r="I163" s="4">
        <f>IFERROR(G163/F163,"")</f>
        <v>0</v>
      </c>
    </row>
    <row r="164" spans="1:9" x14ac:dyDescent="0.45">
      <c r="A164" s="2" t="s">
        <v>17</v>
      </c>
      <c r="B164" s="2" t="s">
        <v>47</v>
      </c>
      <c r="C164" s="2" t="s">
        <v>34</v>
      </c>
      <c r="D164" s="6">
        <v>1</v>
      </c>
      <c r="E164" s="6">
        <v>0</v>
      </c>
      <c r="F164" s="5">
        <v>1425</v>
      </c>
      <c r="G164" s="5">
        <v>0</v>
      </c>
      <c r="H164" s="4">
        <f>IFERROR(E164/D164,"")</f>
        <v>0</v>
      </c>
      <c r="I164" s="4">
        <f>IFERROR(G164/F164,"")</f>
        <v>0</v>
      </c>
    </row>
    <row r="165" spans="1:9" x14ac:dyDescent="0.45">
      <c r="A165" s="2" t="s">
        <v>17</v>
      </c>
      <c r="B165" s="2" t="s">
        <v>47</v>
      </c>
      <c r="C165" s="2" t="s">
        <v>35</v>
      </c>
      <c r="D165" s="6">
        <v>0</v>
      </c>
      <c r="E165" s="6">
        <v>0</v>
      </c>
      <c r="F165" s="5">
        <v>0</v>
      </c>
      <c r="G165" s="5">
        <v>0</v>
      </c>
      <c r="H165" s="4" t="str">
        <f>IFERROR(E165/D165,"")</f>
        <v/>
      </c>
      <c r="I165" s="4" t="str">
        <f>IFERROR(G165/F165,"")</f>
        <v/>
      </c>
    </row>
    <row r="166" spans="1:9" x14ac:dyDescent="0.45">
      <c r="A166" s="2" t="s">
        <v>17</v>
      </c>
      <c r="B166" s="2" t="s">
        <v>47</v>
      </c>
      <c r="C166" s="2" t="s">
        <v>36</v>
      </c>
      <c r="D166" s="6">
        <v>0</v>
      </c>
      <c r="E166" s="6">
        <v>0</v>
      </c>
      <c r="F166" s="5">
        <v>0</v>
      </c>
      <c r="G166" s="5">
        <v>0</v>
      </c>
      <c r="H166" s="4" t="str">
        <f>IFERROR(E166/D166,"")</f>
        <v/>
      </c>
      <c r="I166" s="4" t="str">
        <f>IFERROR(G166/F166,"")</f>
        <v/>
      </c>
    </row>
    <row r="167" spans="1:9" x14ac:dyDescent="0.45">
      <c r="A167" s="2" t="s">
        <v>17</v>
      </c>
      <c r="B167" s="2" t="s">
        <v>47</v>
      </c>
      <c r="C167" s="2" t="s">
        <v>37</v>
      </c>
      <c r="D167" s="6">
        <v>5</v>
      </c>
      <c r="E167" s="6">
        <v>0</v>
      </c>
      <c r="F167" s="5">
        <v>261895</v>
      </c>
      <c r="G167" s="5">
        <v>0</v>
      </c>
      <c r="H167" s="4">
        <f>IFERROR(E167/D167,"")</f>
        <v>0</v>
      </c>
      <c r="I167" s="4">
        <f>IFERROR(G167/F167,"")</f>
        <v>0</v>
      </c>
    </row>
    <row r="168" spans="1:9" x14ac:dyDescent="0.45">
      <c r="A168" s="2" t="s">
        <v>17</v>
      </c>
      <c r="B168" s="2" t="s">
        <v>47</v>
      </c>
      <c r="C168" s="2" t="s">
        <v>38</v>
      </c>
      <c r="D168" s="6">
        <v>0</v>
      </c>
      <c r="E168" s="6">
        <v>0</v>
      </c>
      <c r="F168" s="5">
        <v>0</v>
      </c>
      <c r="G168" s="5">
        <v>0</v>
      </c>
      <c r="H168" s="4" t="str">
        <f>IFERROR(E168/D168,"")</f>
        <v/>
      </c>
      <c r="I168" s="4" t="str">
        <f>IFERROR(G168/F168,"")</f>
        <v/>
      </c>
    </row>
    <row r="169" spans="1:9" x14ac:dyDescent="0.45">
      <c r="A169" s="2" t="s">
        <v>17</v>
      </c>
      <c r="B169" s="2" t="s">
        <v>47</v>
      </c>
      <c r="C169" s="2" t="s">
        <v>39</v>
      </c>
      <c r="D169" s="6">
        <v>1</v>
      </c>
      <c r="E169" s="6">
        <v>0</v>
      </c>
      <c r="F169" s="5">
        <v>49795</v>
      </c>
      <c r="G169" s="5">
        <v>0</v>
      </c>
      <c r="H169" s="4">
        <f>IFERROR(E169/D169,"")</f>
        <v>0</v>
      </c>
      <c r="I169" s="4">
        <f>IFERROR(G169/F169,"")</f>
        <v>0</v>
      </c>
    </row>
    <row r="170" spans="1:9" x14ac:dyDescent="0.45">
      <c r="A170" s="2" t="s">
        <v>17</v>
      </c>
      <c r="B170" s="2" t="s">
        <v>47</v>
      </c>
      <c r="C170" s="2" t="s">
        <v>40</v>
      </c>
      <c r="D170" s="6">
        <v>0</v>
      </c>
      <c r="E170" s="6">
        <v>0</v>
      </c>
      <c r="F170" s="5">
        <v>0</v>
      </c>
      <c r="G170" s="5">
        <v>0</v>
      </c>
      <c r="H170" s="4" t="str">
        <f>IFERROR(E170/D170,"")</f>
        <v/>
      </c>
      <c r="I170" s="4" t="str">
        <f>IFERROR(G170/F170,"")</f>
        <v/>
      </c>
    </row>
    <row r="171" spans="1:9" x14ac:dyDescent="0.45">
      <c r="A171" s="2" t="s">
        <v>17</v>
      </c>
      <c r="B171" s="2" t="s">
        <v>47</v>
      </c>
      <c r="C171" s="2" t="s">
        <v>41</v>
      </c>
      <c r="D171" s="6">
        <v>0</v>
      </c>
      <c r="E171" s="6">
        <v>0</v>
      </c>
      <c r="F171" s="5">
        <v>0</v>
      </c>
      <c r="G171" s="5">
        <v>0</v>
      </c>
      <c r="H171" s="4" t="str">
        <f>IFERROR(E171/D171,"")</f>
        <v/>
      </c>
      <c r="I171" s="4" t="str">
        <f>IFERROR(G171/F171,"")</f>
        <v/>
      </c>
    </row>
    <row r="172" spans="1:9" x14ac:dyDescent="0.45">
      <c r="A172" s="2" t="s">
        <v>18</v>
      </c>
      <c r="B172" s="2" t="s">
        <v>47</v>
      </c>
      <c r="C172" s="2" t="s">
        <v>32</v>
      </c>
      <c r="D172" s="6">
        <v>5</v>
      </c>
      <c r="E172" s="6">
        <v>1</v>
      </c>
      <c r="F172" s="5">
        <v>678208.5</v>
      </c>
      <c r="G172" s="5">
        <v>38632.5</v>
      </c>
      <c r="H172" s="4">
        <f>IFERROR(E172/D172,"")</f>
        <v>0.2</v>
      </c>
      <c r="I172" s="4">
        <f>IFERROR(G172/F172,"")</f>
        <v>5.6962571244683603E-2</v>
      </c>
    </row>
    <row r="173" spans="1:9" x14ac:dyDescent="0.45">
      <c r="A173" s="2" t="s">
        <v>18</v>
      </c>
      <c r="B173" s="2" t="s">
        <v>47</v>
      </c>
      <c r="C173" s="2" t="s">
        <v>33</v>
      </c>
      <c r="D173" s="6">
        <v>0</v>
      </c>
      <c r="E173" s="6">
        <v>0</v>
      </c>
      <c r="F173" s="5">
        <v>0</v>
      </c>
      <c r="G173" s="5">
        <v>0</v>
      </c>
      <c r="H173" s="4" t="str">
        <f>IFERROR(E173/D173,"")</f>
        <v/>
      </c>
      <c r="I173" s="4" t="str">
        <f>IFERROR(G173/F173,"")</f>
        <v/>
      </c>
    </row>
    <row r="174" spans="1:9" x14ac:dyDescent="0.45">
      <c r="A174" s="2" t="s">
        <v>18</v>
      </c>
      <c r="B174" s="2" t="s">
        <v>47</v>
      </c>
      <c r="C174" s="2" t="s">
        <v>34</v>
      </c>
      <c r="D174" s="6">
        <v>0</v>
      </c>
      <c r="E174" s="6">
        <v>0</v>
      </c>
      <c r="F174" s="5">
        <v>0</v>
      </c>
      <c r="G174" s="5">
        <v>0</v>
      </c>
      <c r="H174" s="4" t="str">
        <f>IFERROR(E174/D174,"")</f>
        <v/>
      </c>
      <c r="I174" s="4" t="str">
        <f>IFERROR(G174/F174,"")</f>
        <v/>
      </c>
    </row>
    <row r="175" spans="1:9" x14ac:dyDescent="0.45">
      <c r="A175" s="2" t="s">
        <v>18</v>
      </c>
      <c r="B175" s="2" t="s">
        <v>47</v>
      </c>
      <c r="C175" s="2" t="s">
        <v>35</v>
      </c>
      <c r="D175" s="6">
        <v>1</v>
      </c>
      <c r="E175" s="6">
        <v>0</v>
      </c>
      <c r="F175" s="5">
        <v>0</v>
      </c>
      <c r="G175" s="5">
        <v>0</v>
      </c>
      <c r="H175" s="4">
        <f>IFERROR(E175/D175,"")</f>
        <v>0</v>
      </c>
      <c r="I175" s="4" t="str">
        <f>IFERROR(G175/F175,"")</f>
        <v/>
      </c>
    </row>
    <row r="176" spans="1:9" x14ac:dyDescent="0.45">
      <c r="A176" s="2" t="s">
        <v>18</v>
      </c>
      <c r="B176" s="2" t="s">
        <v>47</v>
      </c>
      <c r="C176" s="2" t="s">
        <v>36</v>
      </c>
      <c r="D176" s="6">
        <v>0</v>
      </c>
      <c r="E176" s="6">
        <v>0</v>
      </c>
      <c r="F176" s="5">
        <v>0</v>
      </c>
      <c r="G176" s="5">
        <v>0</v>
      </c>
      <c r="H176" s="4" t="str">
        <f>IFERROR(E176/D176,"")</f>
        <v/>
      </c>
      <c r="I176" s="4" t="str">
        <f>IFERROR(G176/F176,"")</f>
        <v/>
      </c>
    </row>
    <row r="177" spans="1:9" x14ac:dyDescent="0.45">
      <c r="A177" s="2" t="s">
        <v>18</v>
      </c>
      <c r="B177" s="2" t="s">
        <v>47</v>
      </c>
      <c r="C177" s="2" t="s">
        <v>37</v>
      </c>
      <c r="D177" s="6">
        <v>2</v>
      </c>
      <c r="E177" s="6">
        <v>0</v>
      </c>
      <c r="F177" s="5">
        <v>131860</v>
      </c>
      <c r="G177" s="5">
        <v>0</v>
      </c>
      <c r="H177" s="4">
        <f>IFERROR(E177/D177,"")</f>
        <v>0</v>
      </c>
      <c r="I177" s="4">
        <f>IFERROR(G177/F177,"")</f>
        <v>0</v>
      </c>
    </row>
    <row r="178" spans="1:9" x14ac:dyDescent="0.45">
      <c r="A178" s="2" t="s">
        <v>18</v>
      </c>
      <c r="B178" s="2" t="s">
        <v>47</v>
      </c>
      <c r="C178" s="2" t="s">
        <v>38</v>
      </c>
      <c r="D178" s="6">
        <v>0</v>
      </c>
      <c r="E178" s="6">
        <v>0</v>
      </c>
      <c r="F178" s="5">
        <v>0</v>
      </c>
      <c r="G178" s="5">
        <v>0</v>
      </c>
      <c r="H178" s="4" t="str">
        <f>IFERROR(E178/D178,"")</f>
        <v/>
      </c>
      <c r="I178" s="4" t="str">
        <f>IFERROR(G178/F178,"")</f>
        <v/>
      </c>
    </row>
    <row r="179" spans="1:9" x14ac:dyDescent="0.45">
      <c r="A179" s="2" t="s">
        <v>18</v>
      </c>
      <c r="B179" s="2" t="s">
        <v>47</v>
      </c>
      <c r="C179" s="2" t="s">
        <v>39</v>
      </c>
      <c r="D179" s="6">
        <v>2</v>
      </c>
      <c r="E179" s="6">
        <v>0</v>
      </c>
      <c r="F179" s="5">
        <v>205000</v>
      </c>
      <c r="G179" s="5">
        <v>0</v>
      </c>
      <c r="H179" s="4">
        <f>IFERROR(E179/D179,"")</f>
        <v>0</v>
      </c>
      <c r="I179" s="4">
        <f>IFERROR(G179/F179,"")</f>
        <v>0</v>
      </c>
    </row>
    <row r="180" spans="1:9" x14ac:dyDescent="0.45">
      <c r="A180" s="2" t="s">
        <v>18</v>
      </c>
      <c r="B180" s="2" t="s">
        <v>47</v>
      </c>
      <c r="C180" s="2" t="s">
        <v>40</v>
      </c>
      <c r="D180" s="6">
        <v>0</v>
      </c>
      <c r="E180" s="6">
        <v>0</v>
      </c>
      <c r="F180" s="5">
        <v>0</v>
      </c>
      <c r="G180" s="5">
        <v>0</v>
      </c>
      <c r="H180" s="4" t="str">
        <f>IFERROR(E180/D180,"")</f>
        <v/>
      </c>
      <c r="I180" s="4" t="str">
        <f>IFERROR(G180/F180,"")</f>
        <v/>
      </c>
    </row>
    <row r="181" spans="1:9" x14ac:dyDescent="0.45">
      <c r="A181" s="2" t="s">
        <v>18</v>
      </c>
      <c r="B181" s="2" t="s">
        <v>47</v>
      </c>
      <c r="C181" s="2" t="s">
        <v>41</v>
      </c>
      <c r="D181" s="6">
        <v>0</v>
      </c>
      <c r="E181" s="6">
        <v>0</v>
      </c>
      <c r="F181" s="5">
        <v>0</v>
      </c>
      <c r="G181" s="5">
        <v>0</v>
      </c>
      <c r="H181" s="4" t="str">
        <f>IFERROR(E181/D181,"")</f>
        <v/>
      </c>
      <c r="I181" s="4" t="str">
        <f>IFERROR(G181/F181,"")</f>
        <v/>
      </c>
    </row>
    <row r="182" spans="1:9" x14ac:dyDescent="0.45">
      <c r="A182" s="2" t="s">
        <v>19</v>
      </c>
      <c r="B182" s="2" t="s">
        <v>47</v>
      </c>
      <c r="C182" s="2" t="s">
        <v>32</v>
      </c>
      <c r="D182" s="6">
        <v>3</v>
      </c>
      <c r="E182" s="6">
        <v>0</v>
      </c>
      <c r="F182" s="5">
        <v>230686</v>
      </c>
      <c r="G182" s="5">
        <v>0</v>
      </c>
      <c r="H182" s="4">
        <f>IFERROR(E182/D182,"")</f>
        <v>0</v>
      </c>
      <c r="I182" s="4">
        <f>IFERROR(G182/F182,"")</f>
        <v>0</v>
      </c>
    </row>
    <row r="183" spans="1:9" x14ac:dyDescent="0.45">
      <c r="A183" s="2" t="s">
        <v>19</v>
      </c>
      <c r="B183" s="2" t="s">
        <v>47</v>
      </c>
      <c r="C183" s="2" t="s">
        <v>33</v>
      </c>
      <c r="D183" s="6">
        <v>7</v>
      </c>
      <c r="E183" s="6">
        <v>0</v>
      </c>
      <c r="F183" s="5">
        <v>306830</v>
      </c>
      <c r="G183" s="5">
        <v>0</v>
      </c>
      <c r="H183" s="4">
        <f>IFERROR(E183/D183,"")</f>
        <v>0</v>
      </c>
      <c r="I183" s="4">
        <f>IFERROR(G183/F183,"")</f>
        <v>0</v>
      </c>
    </row>
    <row r="184" spans="1:9" x14ac:dyDescent="0.45">
      <c r="A184" s="2" t="s">
        <v>19</v>
      </c>
      <c r="B184" s="2" t="s">
        <v>47</v>
      </c>
      <c r="C184" s="2" t="s">
        <v>34</v>
      </c>
      <c r="D184" s="6">
        <v>0</v>
      </c>
      <c r="E184" s="6">
        <v>0</v>
      </c>
      <c r="F184" s="5">
        <v>0</v>
      </c>
      <c r="G184" s="5">
        <v>0</v>
      </c>
      <c r="H184" s="4" t="str">
        <f>IFERROR(E184/D184,"")</f>
        <v/>
      </c>
      <c r="I184" s="4" t="str">
        <f>IFERROR(G184/F184,"")</f>
        <v/>
      </c>
    </row>
    <row r="185" spans="1:9" x14ac:dyDescent="0.45">
      <c r="A185" s="2" t="s">
        <v>19</v>
      </c>
      <c r="B185" s="2" t="s">
        <v>47</v>
      </c>
      <c r="C185" s="2" t="s">
        <v>35</v>
      </c>
      <c r="D185" s="6">
        <v>1</v>
      </c>
      <c r="E185" s="6">
        <v>0</v>
      </c>
      <c r="F185" s="5">
        <v>196925.18</v>
      </c>
      <c r="G185" s="5">
        <v>0</v>
      </c>
      <c r="H185" s="4">
        <f>IFERROR(E185/D185,"")</f>
        <v>0</v>
      </c>
      <c r="I185" s="4">
        <f>IFERROR(G185/F185,"")</f>
        <v>0</v>
      </c>
    </row>
    <row r="186" spans="1:9" x14ac:dyDescent="0.45">
      <c r="A186" s="2" t="s">
        <v>19</v>
      </c>
      <c r="B186" s="2" t="s">
        <v>47</v>
      </c>
      <c r="C186" s="2" t="s">
        <v>36</v>
      </c>
      <c r="D186" s="6">
        <v>0</v>
      </c>
      <c r="E186" s="6">
        <v>0</v>
      </c>
      <c r="F186" s="5">
        <v>0</v>
      </c>
      <c r="G186" s="5">
        <v>0</v>
      </c>
      <c r="H186" s="4" t="str">
        <f>IFERROR(E186/D186,"")</f>
        <v/>
      </c>
      <c r="I186" s="4" t="str">
        <f>IFERROR(G186/F186,"")</f>
        <v/>
      </c>
    </row>
    <row r="187" spans="1:9" x14ac:dyDescent="0.45">
      <c r="A187" s="2" t="s">
        <v>19</v>
      </c>
      <c r="B187" s="2" t="s">
        <v>47</v>
      </c>
      <c r="C187" s="2" t="s">
        <v>37</v>
      </c>
      <c r="D187" s="6">
        <v>3</v>
      </c>
      <c r="E187" s="6">
        <v>1</v>
      </c>
      <c r="F187" s="5">
        <v>76910</v>
      </c>
      <c r="G187" s="5">
        <v>38900</v>
      </c>
      <c r="H187" s="4">
        <f>IFERROR(E187/D187,"")</f>
        <v>0.33333333333333331</v>
      </c>
      <c r="I187" s="4">
        <f>IFERROR(G187/F187,"")</f>
        <v>0.50578598361721494</v>
      </c>
    </row>
    <row r="188" spans="1:9" x14ac:dyDescent="0.45">
      <c r="A188" s="2" t="s">
        <v>19</v>
      </c>
      <c r="B188" s="2" t="s">
        <v>47</v>
      </c>
      <c r="C188" s="2" t="s">
        <v>38</v>
      </c>
      <c r="D188" s="6">
        <v>2</v>
      </c>
      <c r="E188" s="6">
        <v>1</v>
      </c>
      <c r="F188" s="5">
        <v>134394.35</v>
      </c>
      <c r="G188" s="5">
        <v>69385</v>
      </c>
      <c r="H188" s="4">
        <f>IFERROR(E188/D188,"")</f>
        <v>0.5</v>
      </c>
      <c r="I188" s="4">
        <f>IFERROR(G188/F188,"")</f>
        <v>0.51627914417533172</v>
      </c>
    </row>
    <row r="189" spans="1:9" x14ac:dyDescent="0.45">
      <c r="A189" s="2" t="s">
        <v>19</v>
      </c>
      <c r="B189" s="2" t="s">
        <v>47</v>
      </c>
      <c r="C189" s="2" t="s">
        <v>39</v>
      </c>
      <c r="D189" s="6">
        <v>2</v>
      </c>
      <c r="E189" s="6">
        <v>0</v>
      </c>
      <c r="F189" s="5">
        <v>74580</v>
      </c>
      <c r="G189" s="5">
        <v>0</v>
      </c>
      <c r="H189" s="4">
        <f>IFERROR(E189/D189,"")</f>
        <v>0</v>
      </c>
      <c r="I189" s="4">
        <f>IFERROR(G189/F189,"")</f>
        <v>0</v>
      </c>
    </row>
    <row r="190" spans="1:9" x14ac:dyDescent="0.45">
      <c r="A190" s="2" t="s">
        <v>19</v>
      </c>
      <c r="B190" s="2" t="s">
        <v>47</v>
      </c>
      <c r="C190" s="2" t="s">
        <v>40</v>
      </c>
      <c r="D190" s="6">
        <v>0</v>
      </c>
      <c r="E190" s="6">
        <v>0</v>
      </c>
      <c r="F190" s="5">
        <v>0</v>
      </c>
      <c r="G190" s="5">
        <v>0</v>
      </c>
      <c r="H190" s="4" t="str">
        <f>IFERROR(E190/D190,"")</f>
        <v/>
      </c>
      <c r="I190" s="4" t="str">
        <f>IFERROR(G190/F190,"")</f>
        <v/>
      </c>
    </row>
    <row r="191" spans="1:9" x14ac:dyDescent="0.45">
      <c r="A191" s="2" t="s">
        <v>19</v>
      </c>
      <c r="B191" s="2" t="s">
        <v>47</v>
      </c>
      <c r="C191" s="2" t="s">
        <v>41</v>
      </c>
      <c r="D191" s="6">
        <v>0</v>
      </c>
      <c r="E191" s="6">
        <v>0</v>
      </c>
      <c r="F191" s="5">
        <v>0</v>
      </c>
      <c r="G191" s="5">
        <v>0</v>
      </c>
      <c r="H191" s="4" t="str">
        <f>IFERROR(E191/D191,"")</f>
        <v/>
      </c>
      <c r="I191" s="4" t="str">
        <f>IFERROR(G191/F191,"")</f>
        <v/>
      </c>
    </row>
    <row r="192" spans="1:9" x14ac:dyDescent="0.45">
      <c r="A192" s="2" t="s">
        <v>20</v>
      </c>
      <c r="B192" s="2" t="s">
        <v>47</v>
      </c>
      <c r="C192" s="2" t="s">
        <v>32</v>
      </c>
      <c r="D192" s="6">
        <v>5</v>
      </c>
      <c r="E192" s="6">
        <v>0</v>
      </c>
      <c r="F192" s="5">
        <v>492017.6</v>
      </c>
      <c r="G192" s="5">
        <v>0</v>
      </c>
      <c r="H192" s="4">
        <f>IFERROR(E192/D192,"")</f>
        <v>0</v>
      </c>
      <c r="I192" s="4">
        <f>IFERROR(G192/F192,"")</f>
        <v>0</v>
      </c>
    </row>
    <row r="193" spans="1:9" x14ac:dyDescent="0.45">
      <c r="A193" s="2" t="s">
        <v>20</v>
      </c>
      <c r="B193" s="2" t="s">
        <v>47</v>
      </c>
      <c r="C193" s="2" t="s">
        <v>33</v>
      </c>
      <c r="D193" s="6">
        <v>4</v>
      </c>
      <c r="E193" s="6">
        <v>0</v>
      </c>
      <c r="F193" s="5">
        <v>270787.25</v>
      </c>
      <c r="G193" s="5">
        <v>0</v>
      </c>
      <c r="H193" s="4">
        <f>IFERROR(E193/D193,"")</f>
        <v>0</v>
      </c>
      <c r="I193" s="4">
        <f>IFERROR(G193/F193,"")</f>
        <v>0</v>
      </c>
    </row>
    <row r="194" spans="1:9" x14ac:dyDescent="0.45">
      <c r="A194" s="2" t="s">
        <v>20</v>
      </c>
      <c r="B194" s="2" t="s">
        <v>47</v>
      </c>
      <c r="C194" s="2" t="s">
        <v>34</v>
      </c>
      <c r="D194" s="6">
        <v>0</v>
      </c>
      <c r="E194" s="6">
        <v>0</v>
      </c>
      <c r="F194" s="5">
        <v>0</v>
      </c>
      <c r="G194" s="5">
        <v>0</v>
      </c>
      <c r="H194" s="4" t="str">
        <f>IFERROR(E194/D194,"")</f>
        <v/>
      </c>
      <c r="I194" s="4" t="str">
        <f>IFERROR(G194/F194,"")</f>
        <v/>
      </c>
    </row>
    <row r="195" spans="1:9" x14ac:dyDescent="0.45">
      <c r="A195" s="2" t="s">
        <v>20</v>
      </c>
      <c r="B195" s="2" t="s">
        <v>47</v>
      </c>
      <c r="C195" s="2" t="s">
        <v>35</v>
      </c>
      <c r="D195" s="6">
        <v>0</v>
      </c>
      <c r="E195" s="6">
        <v>0</v>
      </c>
      <c r="F195" s="5">
        <v>0</v>
      </c>
      <c r="G195" s="5">
        <v>0</v>
      </c>
      <c r="H195" s="4" t="str">
        <f>IFERROR(E195/D195,"")</f>
        <v/>
      </c>
      <c r="I195" s="4" t="str">
        <f>IFERROR(G195/F195,"")</f>
        <v/>
      </c>
    </row>
    <row r="196" spans="1:9" x14ac:dyDescent="0.45">
      <c r="A196" s="2" t="s">
        <v>20</v>
      </c>
      <c r="B196" s="2" t="s">
        <v>47</v>
      </c>
      <c r="C196" s="2" t="s">
        <v>36</v>
      </c>
      <c r="D196" s="6">
        <v>0</v>
      </c>
      <c r="E196" s="6">
        <v>0</v>
      </c>
      <c r="F196" s="5">
        <v>0</v>
      </c>
      <c r="G196" s="5">
        <v>0</v>
      </c>
      <c r="H196" s="4" t="str">
        <f>IFERROR(E196/D196,"")</f>
        <v/>
      </c>
      <c r="I196" s="4" t="str">
        <f>IFERROR(G196/F196,"")</f>
        <v/>
      </c>
    </row>
    <row r="197" spans="1:9" x14ac:dyDescent="0.45">
      <c r="A197" s="2" t="s">
        <v>20</v>
      </c>
      <c r="B197" s="2" t="s">
        <v>47</v>
      </c>
      <c r="C197" s="2" t="s">
        <v>37</v>
      </c>
      <c r="D197" s="6">
        <v>3</v>
      </c>
      <c r="E197" s="6">
        <v>0</v>
      </c>
      <c r="F197" s="5">
        <v>276495</v>
      </c>
      <c r="G197" s="5">
        <v>0</v>
      </c>
      <c r="H197" s="4">
        <f>IFERROR(E197/D197,"")</f>
        <v>0</v>
      </c>
      <c r="I197" s="4">
        <f>IFERROR(G197/F197,"")</f>
        <v>0</v>
      </c>
    </row>
    <row r="198" spans="1:9" x14ac:dyDescent="0.45">
      <c r="A198" s="2" t="s">
        <v>20</v>
      </c>
      <c r="B198" s="2" t="s">
        <v>47</v>
      </c>
      <c r="C198" s="2" t="s">
        <v>38</v>
      </c>
      <c r="D198" s="6">
        <v>2</v>
      </c>
      <c r="E198" s="6">
        <v>1</v>
      </c>
      <c r="F198" s="5">
        <v>33685</v>
      </c>
      <c r="G198" s="5">
        <v>52315</v>
      </c>
      <c r="H198" s="4">
        <f>IFERROR(E198/D198,"")</f>
        <v>0.5</v>
      </c>
      <c r="I198" s="4">
        <f>IFERROR(G198/F198,"")</f>
        <v>1.5530651625352532</v>
      </c>
    </row>
    <row r="199" spans="1:9" x14ac:dyDescent="0.45">
      <c r="A199" s="2" t="s">
        <v>20</v>
      </c>
      <c r="B199" s="2" t="s">
        <v>47</v>
      </c>
      <c r="C199" s="2" t="s">
        <v>39</v>
      </c>
      <c r="D199" s="6">
        <v>3</v>
      </c>
      <c r="E199" s="6">
        <v>0</v>
      </c>
      <c r="F199" s="5">
        <v>379515</v>
      </c>
      <c r="G199" s="5">
        <v>0</v>
      </c>
      <c r="H199" s="4">
        <f>IFERROR(E199/D199,"")</f>
        <v>0</v>
      </c>
      <c r="I199" s="4">
        <f>IFERROR(G199/F199,"")</f>
        <v>0</v>
      </c>
    </row>
    <row r="200" spans="1:9" x14ac:dyDescent="0.45">
      <c r="A200" s="2" t="s">
        <v>20</v>
      </c>
      <c r="B200" s="2" t="s">
        <v>47</v>
      </c>
      <c r="C200" s="2" t="s">
        <v>40</v>
      </c>
      <c r="D200" s="6">
        <v>0</v>
      </c>
      <c r="E200" s="6">
        <v>0</v>
      </c>
      <c r="F200" s="5">
        <v>0</v>
      </c>
      <c r="G200" s="5">
        <v>0</v>
      </c>
      <c r="H200" s="4" t="str">
        <f>IFERROR(E200/D200,"")</f>
        <v/>
      </c>
      <c r="I200" s="4" t="str">
        <f>IFERROR(G200/F200,"")</f>
        <v/>
      </c>
    </row>
    <row r="201" spans="1:9" x14ac:dyDescent="0.45">
      <c r="A201" s="2" t="s">
        <v>20</v>
      </c>
      <c r="B201" s="2" t="s">
        <v>47</v>
      </c>
      <c r="C201" s="2" t="s">
        <v>41</v>
      </c>
      <c r="D201" s="6">
        <v>0</v>
      </c>
      <c r="E201" s="6">
        <v>0</v>
      </c>
      <c r="F201" s="5">
        <v>0</v>
      </c>
      <c r="G201" s="5">
        <v>0</v>
      </c>
      <c r="H201" s="4" t="str">
        <f>IFERROR(E201/D201,"")</f>
        <v/>
      </c>
      <c r="I201" s="4" t="str">
        <f>IFERROR(G201/F201,"")</f>
        <v/>
      </c>
    </row>
    <row r="202" spans="1:9" x14ac:dyDescent="0.45">
      <c r="A202" s="2" t="s">
        <v>21</v>
      </c>
      <c r="B202" s="2" t="s">
        <v>47</v>
      </c>
      <c r="C202" s="2" t="s">
        <v>32</v>
      </c>
      <c r="D202" s="6">
        <v>2</v>
      </c>
      <c r="E202" s="6">
        <v>0</v>
      </c>
      <c r="F202" s="5">
        <v>274500</v>
      </c>
      <c r="G202" s="5">
        <v>0</v>
      </c>
      <c r="H202" s="4">
        <f>IFERROR(E202/D202,"")</f>
        <v>0</v>
      </c>
      <c r="I202" s="4">
        <f>IFERROR(G202/F202,"")</f>
        <v>0</v>
      </c>
    </row>
    <row r="203" spans="1:9" x14ac:dyDescent="0.45">
      <c r="A203" s="2" t="s">
        <v>21</v>
      </c>
      <c r="B203" s="2" t="s">
        <v>47</v>
      </c>
      <c r="C203" s="2" t="s">
        <v>33</v>
      </c>
      <c r="D203" s="6">
        <v>2</v>
      </c>
      <c r="E203" s="6">
        <v>0</v>
      </c>
      <c r="F203" s="5">
        <v>38632.5</v>
      </c>
      <c r="G203" s="5">
        <v>0</v>
      </c>
      <c r="H203" s="4">
        <f>IFERROR(E203/D203,"")</f>
        <v>0</v>
      </c>
      <c r="I203" s="4">
        <f>IFERROR(G203/F203,"")</f>
        <v>0</v>
      </c>
    </row>
    <row r="204" spans="1:9" x14ac:dyDescent="0.45">
      <c r="A204" s="2" t="s">
        <v>21</v>
      </c>
      <c r="B204" s="2" t="s">
        <v>47</v>
      </c>
      <c r="C204" s="2" t="s">
        <v>34</v>
      </c>
      <c r="D204" s="6">
        <v>0</v>
      </c>
      <c r="E204" s="6">
        <v>0</v>
      </c>
      <c r="F204" s="5">
        <v>0</v>
      </c>
      <c r="G204" s="5">
        <v>0</v>
      </c>
      <c r="H204" s="4" t="str">
        <f>IFERROR(E204/D204,"")</f>
        <v/>
      </c>
      <c r="I204" s="4" t="str">
        <f>IFERROR(G204/F204,"")</f>
        <v/>
      </c>
    </row>
    <row r="205" spans="1:9" x14ac:dyDescent="0.45">
      <c r="A205" s="2" t="s">
        <v>21</v>
      </c>
      <c r="B205" s="2" t="s">
        <v>47</v>
      </c>
      <c r="C205" s="2" t="s">
        <v>35</v>
      </c>
      <c r="D205" s="6">
        <v>0</v>
      </c>
      <c r="E205" s="6">
        <v>0</v>
      </c>
      <c r="F205" s="5">
        <v>0</v>
      </c>
      <c r="G205" s="5">
        <v>0</v>
      </c>
      <c r="H205" s="4" t="str">
        <f>IFERROR(E205/D205,"")</f>
        <v/>
      </c>
      <c r="I205" s="4" t="str">
        <f>IFERROR(G205/F205,"")</f>
        <v/>
      </c>
    </row>
    <row r="206" spans="1:9" x14ac:dyDescent="0.45">
      <c r="A206" s="2" t="s">
        <v>21</v>
      </c>
      <c r="B206" s="2" t="s">
        <v>47</v>
      </c>
      <c r="C206" s="2" t="s">
        <v>36</v>
      </c>
      <c r="D206" s="6">
        <v>0</v>
      </c>
      <c r="E206" s="6">
        <v>0</v>
      </c>
      <c r="F206" s="5">
        <v>0</v>
      </c>
      <c r="G206" s="5">
        <v>0</v>
      </c>
      <c r="H206" s="4" t="str">
        <f>IFERROR(E206/D206,"")</f>
        <v/>
      </c>
      <c r="I206" s="4" t="str">
        <f>IFERROR(G206/F206,"")</f>
        <v/>
      </c>
    </row>
    <row r="207" spans="1:9" x14ac:dyDescent="0.45">
      <c r="A207" s="2" t="s">
        <v>21</v>
      </c>
      <c r="B207" s="2" t="s">
        <v>47</v>
      </c>
      <c r="C207" s="2" t="s">
        <v>37</v>
      </c>
      <c r="D207" s="6">
        <v>2</v>
      </c>
      <c r="E207" s="6">
        <v>0</v>
      </c>
      <c r="F207" s="5">
        <v>121555</v>
      </c>
      <c r="G207" s="5">
        <v>0</v>
      </c>
      <c r="H207" s="4">
        <f>IFERROR(E207/D207,"")</f>
        <v>0</v>
      </c>
      <c r="I207" s="4">
        <f>IFERROR(G207/F207,"")</f>
        <v>0</v>
      </c>
    </row>
    <row r="208" spans="1:9" x14ac:dyDescent="0.45">
      <c r="A208" s="2" t="s">
        <v>21</v>
      </c>
      <c r="B208" s="2" t="s">
        <v>47</v>
      </c>
      <c r="C208" s="2" t="s">
        <v>38</v>
      </c>
      <c r="D208" s="6">
        <v>2</v>
      </c>
      <c r="E208" s="6">
        <v>0</v>
      </c>
      <c r="F208" s="5">
        <v>181410</v>
      </c>
      <c r="G208" s="5">
        <v>0</v>
      </c>
      <c r="H208" s="4">
        <f>IFERROR(E208/D208,"")</f>
        <v>0</v>
      </c>
      <c r="I208" s="4">
        <f>IFERROR(G208/F208,"")</f>
        <v>0</v>
      </c>
    </row>
    <row r="209" spans="1:9" x14ac:dyDescent="0.45">
      <c r="A209" s="2" t="s">
        <v>21</v>
      </c>
      <c r="B209" s="2" t="s">
        <v>47</v>
      </c>
      <c r="C209" s="2" t="s">
        <v>39</v>
      </c>
      <c r="D209" s="6">
        <v>2</v>
      </c>
      <c r="E209" s="6">
        <v>0</v>
      </c>
      <c r="F209" s="5">
        <v>139642.13</v>
      </c>
      <c r="G209" s="5">
        <v>0</v>
      </c>
      <c r="H209" s="4">
        <f>IFERROR(E209/D209,"")</f>
        <v>0</v>
      </c>
      <c r="I209" s="4">
        <f>IFERROR(G209/F209,"")</f>
        <v>0</v>
      </c>
    </row>
    <row r="210" spans="1:9" x14ac:dyDescent="0.45">
      <c r="A210" s="2" t="s">
        <v>21</v>
      </c>
      <c r="B210" s="2" t="s">
        <v>47</v>
      </c>
      <c r="C210" s="2" t="s">
        <v>40</v>
      </c>
      <c r="D210" s="6">
        <v>0</v>
      </c>
      <c r="E210" s="6">
        <v>0</v>
      </c>
      <c r="F210" s="5">
        <v>0</v>
      </c>
      <c r="G210" s="5">
        <v>0</v>
      </c>
      <c r="H210" s="4" t="str">
        <f>IFERROR(E210/D210,"")</f>
        <v/>
      </c>
      <c r="I210" s="4" t="str">
        <f>IFERROR(G210/F210,"")</f>
        <v/>
      </c>
    </row>
    <row r="211" spans="1:9" x14ac:dyDescent="0.45">
      <c r="A211" s="2" t="s">
        <v>21</v>
      </c>
      <c r="B211" s="2" t="s">
        <v>47</v>
      </c>
      <c r="C211" s="2" t="s">
        <v>41</v>
      </c>
      <c r="D211" s="6">
        <v>1</v>
      </c>
      <c r="E211" s="6">
        <v>0</v>
      </c>
      <c r="F211" s="5">
        <v>0</v>
      </c>
      <c r="G211" s="5">
        <v>0</v>
      </c>
      <c r="H211" s="4">
        <f>IFERROR(E211/D211,"")</f>
        <v>0</v>
      </c>
      <c r="I211" s="4" t="str">
        <f>IFERROR(G211/F211,"")</f>
        <v/>
      </c>
    </row>
    <row r="212" spans="1:9" x14ac:dyDescent="0.45">
      <c r="A212" s="2" t="s">
        <v>22</v>
      </c>
      <c r="B212" s="2" t="s">
        <v>47</v>
      </c>
      <c r="C212" s="2" t="s">
        <v>32</v>
      </c>
      <c r="D212" s="6">
        <v>5</v>
      </c>
      <c r="E212" s="6">
        <v>1</v>
      </c>
      <c r="F212" s="5">
        <v>1135125</v>
      </c>
      <c r="G212" s="5">
        <v>82020</v>
      </c>
      <c r="H212" s="4">
        <f>IFERROR(E212/D212,"")</f>
        <v>0.2</v>
      </c>
      <c r="I212" s="4">
        <f>IFERROR(G212/F212,"")</f>
        <v>7.2256359431780645E-2</v>
      </c>
    </row>
    <row r="213" spans="1:9" x14ac:dyDescent="0.45">
      <c r="A213" s="2" t="s">
        <v>22</v>
      </c>
      <c r="B213" s="2" t="s">
        <v>47</v>
      </c>
      <c r="C213" s="2" t="s">
        <v>33</v>
      </c>
      <c r="D213" s="6">
        <v>1</v>
      </c>
      <c r="E213" s="6">
        <v>0</v>
      </c>
      <c r="F213" s="5">
        <v>0</v>
      </c>
      <c r="G213" s="5">
        <v>0</v>
      </c>
      <c r="H213" s="4">
        <f>IFERROR(E213/D213,"")</f>
        <v>0</v>
      </c>
      <c r="I213" s="4" t="str">
        <f>IFERROR(G213/F213,"")</f>
        <v/>
      </c>
    </row>
    <row r="214" spans="1:9" x14ac:dyDescent="0.45">
      <c r="A214" s="2" t="s">
        <v>22</v>
      </c>
      <c r="B214" s="2" t="s">
        <v>47</v>
      </c>
      <c r="C214" s="2" t="s">
        <v>34</v>
      </c>
      <c r="D214" s="6">
        <v>0</v>
      </c>
      <c r="E214" s="6">
        <v>0</v>
      </c>
      <c r="F214" s="5">
        <v>0</v>
      </c>
      <c r="G214" s="5">
        <v>0</v>
      </c>
      <c r="H214" s="4" t="str">
        <f>IFERROR(E214/D214,"")</f>
        <v/>
      </c>
      <c r="I214" s="4" t="str">
        <f>IFERROR(G214/F214,"")</f>
        <v/>
      </c>
    </row>
    <row r="215" spans="1:9" x14ac:dyDescent="0.45">
      <c r="A215" s="2" t="s">
        <v>22</v>
      </c>
      <c r="B215" s="2" t="s">
        <v>47</v>
      </c>
      <c r="C215" s="2" t="s">
        <v>35</v>
      </c>
      <c r="D215" s="6">
        <v>1</v>
      </c>
      <c r="E215" s="6">
        <v>0</v>
      </c>
      <c r="F215" s="5">
        <v>333853.75</v>
      </c>
      <c r="G215" s="5">
        <v>0</v>
      </c>
      <c r="H215" s="4">
        <f>IFERROR(E215/D215,"")</f>
        <v>0</v>
      </c>
      <c r="I215" s="4">
        <f>IFERROR(G215/F215,"")</f>
        <v>0</v>
      </c>
    </row>
    <row r="216" spans="1:9" x14ac:dyDescent="0.45">
      <c r="A216" s="2" t="s">
        <v>22</v>
      </c>
      <c r="B216" s="2" t="s">
        <v>47</v>
      </c>
      <c r="C216" s="2" t="s">
        <v>36</v>
      </c>
      <c r="D216" s="6">
        <v>0</v>
      </c>
      <c r="E216" s="6">
        <v>0</v>
      </c>
      <c r="F216" s="5">
        <v>0</v>
      </c>
      <c r="G216" s="5">
        <v>0</v>
      </c>
      <c r="H216" s="4" t="str">
        <f>IFERROR(E216/D216,"")</f>
        <v/>
      </c>
      <c r="I216" s="4" t="str">
        <f>IFERROR(G216/F216,"")</f>
        <v/>
      </c>
    </row>
    <row r="217" spans="1:9" x14ac:dyDescent="0.45">
      <c r="A217" s="2" t="s">
        <v>22</v>
      </c>
      <c r="B217" s="2" t="s">
        <v>47</v>
      </c>
      <c r="C217" s="2" t="s">
        <v>37</v>
      </c>
      <c r="D217" s="6">
        <v>3</v>
      </c>
      <c r="E217" s="6">
        <v>1</v>
      </c>
      <c r="F217" s="5">
        <v>262750</v>
      </c>
      <c r="G217" s="5">
        <v>163359</v>
      </c>
      <c r="H217" s="4">
        <f>IFERROR(E217/D217,"")</f>
        <v>0.33333333333333331</v>
      </c>
      <c r="I217" s="4">
        <f>IFERROR(G217/F217,"")</f>
        <v>0.62172787821122744</v>
      </c>
    </row>
    <row r="218" spans="1:9" x14ac:dyDescent="0.45">
      <c r="A218" s="2" t="s">
        <v>22</v>
      </c>
      <c r="B218" s="2" t="s">
        <v>47</v>
      </c>
      <c r="C218" s="2" t="s">
        <v>38</v>
      </c>
      <c r="D218" s="6">
        <v>1</v>
      </c>
      <c r="E218" s="6">
        <v>0</v>
      </c>
      <c r="F218" s="5">
        <v>121930</v>
      </c>
      <c r="G218" s="5">
        <v>0</v>
      </c>
      <c r="H218" s="4">
        <f>IFERROR(E218/D218,"")</f>
        <v>0</v>
      </c>
      <c r="I218" s="4">
        <f>IFERROR(G218/F218,"")</f>
        <v>0</v>
      </c>
    </row>
    <row r="219" spans="1:9" x14ac:dyDescent="0.45">
      <c r="A219" s="2" t="s">
        <v>22</v>
      </c>
      <c r="B219" s="2" t="s">
        <v>47</v>
      </c>
      <c r="C219" s="2" t="s">
        <v>39</v>
      </c>
      <c r="D219" s="6">
        <v>5</v>
      </c>
      <c r="E219" s="6">
        <v>0</v>
      </c>
      <c r="F219" s="5">
        <v>329486.37</v>
      </c>
      <c r="G219" s="5">
        <v>0</v>
      </c>
      <c r="H219" s="4">
        <f>IFERROR(E219/D219,"")</f>
        <v>0</v>
      </c>
      <c r="I219" s="4">
        <f>IFERROR(G219/F219,"")</f>
        <v>0</v>
      </c>
    </row>
    <row r="220" spans="1:9" x14ac:dyDescent="0.45">
      <c r="A220" s="2" t="s">
        <v>22</v>
      </c>
      <c r="B220" s="2" t="s">
        <v>47</v>
      </c>
      <c r="C220" s="2" t="s">
        <v>40</v>
      </c>
      <c r="D220" s="6">
        <v>0</v>
      </c>
      <c r="E220" s="6">
        <v>0</v>
      </c>
      <c r="F220" s="5">
        <v>0</v>
      </c>
      <c r="G220" s="5">
        <v>0</v>
      </c>
      <c r="H220" s="4" t="str">
        <f>IFERROR(E220/D220,"")</f>
        <v/>
      </c>
      <c r="I220" s="4" t="str">
        <f>IFERROR(G220/F220,"")</f>
        <v/>
      </c>
    </row>
    <row r="221" spans="1:9" x14ac:dyDescent="0.45">
      <c r="A221" s="2" t="s">
        <v>22</v>
      </c>
      <c r="B221" s="2" t="s">
        <v>47</v>
      </c>
      <c r="C221" s="2" t="s">
        <v>41</v>
      </c>
      <c r="D221" s="6">
        <v>0</v>
      </c>
      <c r="E221" s="6">
        <v>0</v>
      </c>
      <c r="F221" s="5">
        <v>0</v>
      </c>
      <c r="G221" s="5">
        <v>0</v>
      </c>
      <c r="H221" s="4" t="str">
        <f>IFERROR(E221/D221,"")</f>
        <v/>
      </c>
      <c r="I221" s="4" t="str">
        <f>IFERROR(G221/F221,"")</f>
        <v/>
      </c>
    </row>
    <row r="222" spans="1:9" x14ac:dyDescent="0.45">
      <c r="A222" s="2" t="s">
        <v>23</v>
      </c>
      <c r="B222" s="2" t="s">
        <v>47</v>
      </c>
      <c r="C222" s="2" t="s">
        <v>32</v>
      </c>
      <c r="D222" s="6">
        <v>5</v>
      </c>
      <c r="E222" s="6">
        <v>0</v>
      </c>
      <c r="F222" s="5">
        <v>210185</v>
      </c>
      <c r="G222" s="5">
        <v>0</v>
      </c>
      <c r="H222" s="4">
        <f>IFERROR(E222/D222,"")</f>
        <v>0</v>
      </c>
      <c r="I222" s="4">
        <f>IFERROR(G222/F222,"")</f>
        <v>0</v>
      </c>
    </row>
    <row r="223" spans="1:9" x14ac:dyDescent="0.45">
      <c r="A223" s="2" t="s">
        <v>23</v>
      </c>
      <c r="B223" s="2" t="s">
        <v>47</v>
      </c>
      <c r="C223" s="2" t="s">
        <v>33</v>
      </c>
      <c r="D223" s="6">
        <v>1</v>
      </c>
      <c r="E223" s="6">
        <v>0</v>
      </c>
      <c r="F223" s="5">
        <v>0</v>
      </c>
      <c r="G223" s="5">
        <v>0</v>
      </c>
      <c r="H223" s="4">
        <f>IFERROR(E223/D223,"")</f>
        <v>0</v>
      </c>
      <c r="I223" s="4" t="str">
        <f>IFERROR(G223/F223,"")</f>
        <v/>
      </c>
    </row>
    <row r="224" spans="1:9" x14ac:dyDescent="0.45">
      <c r="A224" s="2" t="s">
        <v>23</v>
      </c>
      <c r="B224" s="2" t="s">
        <v>47</v>
      </c>
      <c r="C224" s="2" t="s">
        <v>34</v>
      </c>
      <c r="D224" s="6">
        <v>0</v>
      </c>
      <c r="E224" s="6">
        <v>0</v>
      </c>
      <c r="F224" s="5">
        <v>0</v>
      </c>
      <c r="G224" s="5">
        <v>0</v>
      </c>
      <c r="H224" s="4" t="str">
        <f>IFERROR(E224/D224,"")</f>
        <v/>
      </c>
      <c r="I224" s="4" t="str">
        <f>IFERROR(G224/F224,"")</f>
        <v/>
      </c>
    </row>
    <row r="225" spans="1:9" x14ac:dyDescent="0.45">
      <c r="A225" s="2" t="s">
        <v>23</v>
      </c>
      <c r="B225" s="2" t="s">
        <v>47</v>
      </c>
      <c r="C225" s="2" t="s">
        <v>35</v>
      </c>
      <c r="D225" s="6">
        <v>2</v>
      </c>
      <c r="E225" s="6">
        <v>0</v>
      </c>
      <c r="F225" s="5">
        <v>337060.75</v>
      </c>
      <c r="G225" s="5">
        <v>0</v>
      </c>
      <c r="H225" s="4">
        <f>IFERROR(E225/D225,"")</f>
        <v>0</v>
      </c>
      <c r="I225" s="4">
        <f>IFERROR(G225/F225,"")</f>
        <v>0</v>
      </c>
    </row>
    <row r="226" spans="1:9" x14ac:dyDescent="0.45">
      <c r="A226" s="2" t="s">
        <v>23</v>
      </c>
      <c r="B226" s="2" t="s">
        <v>47</v>
      </c>
      <c r="C226" s="2" t="s">
        <v>36</v>
      </c>
      <c r="D226" s="6">
        <v>0</v>
      </c>
      <c r="E226" s="6">
        <v>0</v>
      </c>
      <c r="F226" s="5">
        <v>0</v>
      </c>
      <c r="G226" s="5">
        <v>0</v>
      </c>
      <c r="H226" s="4" t="str">
        <f>IFERROR(E226/D226,"")</f>
        <v/>
      </c>
      <c r="I226" s="4" t="str">
        <f>IFERROR(G226/F226,"")</f>
        <v/>
      </c>
    </row>
    <row r="227" spans="1:9" x14ac:dyDescent="0.45">
      <c r="A227" s="2" t="s">
        <v>23</v>
      </c>
      <c r="B227" s="2" t="s">
        <v>47</v>
      </c>
      <c r="C227" s="2" t="s">
        <v>37</v>
      </c>
      <c r="D227" s="6">
        <v>3</v>
      </c>
      <c r="E227" s="6">
        <v>1</v>
      </c>
      <c r="F227" s="5">
        <v>112728.26</v>
      </c>
      <c r="G227" s="5">
        <v>21400</v>
      </c>
      <c r="H227" s="4">
        <f>IFERROR(E227/D227,"")</f>
        <v>0.33333333333333331</v>
      </c>
      <c r="I227" s="4">
        <f>IFERROR(G227/F227,"")</f>
        <v>0.18983704707231355</v>
      </c>
    </row>
    <row r="228" spans="1:9" x14ac:dyDescent="0.45">
      <c r="A228" s="2" t="s">
        <v>23</v>
      </c>
      <c r="B228" s="2" t="s">
        <v>47</v>
      </c>
      <c r="C228" s="2" t="s">
        <v>38</v>
      </c>
      <c r="D228" s="6">
        <v>6</v>
      </c>
      <c r="E228" s="6">
        <v>0</v>
      </c>
      <c r="F228" s="5">
        <v>178271.45</v>
      </c>
      <c r="G228" s="5">
        <v>0</v>
      </c>
      <c r="H228" s="4">
        <f>IFERROR(E228/D228,"")</f>
        <v>0</v>
      </c>
      <c r="I228" s="4">
        <f>IFERROR(G228/F228,"")</f>
        <v>0</v>
      </c>
    </row>
    <row r="229" spans="1:9" x14ac:dyDescent="0.45">
      <c r="A229" s="2" t="s">
        <v>23</v>
      </c>
      <c r="B229" s="2" t="s">
        <v>47</v>
      </c>
      <c r="C229" s="2" t="s">
        <v>39</v>
      </c>
      <c r="D229" s="6">
        <v>4</v>
      </c>
      <c r="E229" s="6">
        <v>0</v>
      </c>
      <c r="F229" s="5">
        <v>292147.21999999997</v>
      </c>
      <c r="G229" s="5">
        <v>0</v>
      </c>
      <c r="H229" s="4">
        <f>IFERROR(E229/D229,"")</f>
        <v>0</v>
      </c>
      <c r="I229" s="4">
        <f>IFERROR(G229/F229,"")</f>
        <v>0</v>
      </c>
    </row>
    <row r="230" spans="1:9" x14ac:dyDescent="0.45">
      <c r="A230" s="2" t="s">
        <v>23</v>
      </c>
      <c r="B230" s="2" t="s">
        <v>47</v>
      </c>
      <c r="C230" s="2" t="s">
        <v>40</v>
      </c>
      <c r="D230" s="6">
        <v>0</v>
      </c>
      <c r="E230" s="6">
        <v>0</v>
      </c>
      <c r="F230" s="5">
        <v>0</v>
      </c>
      <c r="G230" s="5">
        <v>0</v>
      </c>
      <c r="H230" s="4" t="str">
        <f>IFERROR(E230/D230,"")</f>
        <v/>
      </c>
      <c r="I230" s="4" t="str">
        <f>IFERROR(G230/F230,"")</f>
        <v/>
      </c>
    </row>
    <row r="231" spans="1:9" x14ac:dyDescent="0.45">
      <c r="A231" s="2" t="s">
        <v>23</v>
      </c>
      <c r="B231" s="2" t="s">
        <v>47</v>
      </c>
      <c r="C231" s="2" t="s">
        <v>41</v>
      </c>
      <c r="D231" s="6">
        <v>0</v>
      </c>
      <c r="E231" s="6">
        <v>0</v>
      </c>
      <c r="F231" s="5">
        <v>0</v>
      </c>
      <c r="G231" s="5">
        <v>0</v>
      </c>
      <c r="H231" s="4" t="str">
        <f>IFERROR(E231/D231,"")</f>
        <v/>
      </c>
      <c r="I231" s="4" t="str">
        <f>IFERROR(G231/F231,"")</f>
        <v/>
      </c>
    </row>
    <row r="232" spans="1:9" x14ac:dyDescent="0.45">
      <c r="A232" s="2" t="s">
        <v>24</v>
      </c>
      <c r="B232" s="2" t="s">
        <v>47</v>
      </c>
      <c r="C232" s="2" t="s">
        <v>32</v>
      </c>
      <c r="D232" s="6">
        <v>5</v>
      </c>
      <c r="E232" s="6">
        <v>1</v>
      </c>
      <c r="F232" s="5">
        <v>180547.5</v>
      </c>
      <c r="G232" s="5">
        <v>87540</v>
      </c>
      <c r="H232" s="4">
        <f>IFERROR(E232/D232,"")</f>
        <v>0.2</v>
      </c>
      <c r="I232" s="4">
        <f>IFERROR(G232/F232,"")</f>
        <v>0.48485855522784865</v>
      </c>
    </row>
    <row r="233" spans="1:9" x14ac:dyDescent="0.45">
      <c r="A233" s="2" t="s">
        <v>24</v>
      </c>
      <c r="B233" s="2" t="s">
        <v>47</v>
      </c>
      <c r="C233" s="2" t="s">
        <v>33</v>
      </c>
      <c r="D233" s="6">
        <v>0</v>
      </c>
      <c r="E233" s="6">
        <v>0</v>
      </c>
      <c r="F233" s="5">
        <v>0</v>
      </c>
      <c r="G233" s="5">
        <v>0</v>
      </c>
      <c r="H233" s="4" t="str">
        <f>IFERROR(E233/D233,"")</f>
        <v/>
      </c>
      <c r="I233" s="4" t="str">
        <f>IFERROR(G233/F233,"")</f>
        <v/>
      </c>
    </row>
    <row r="234" spans="1:9" x14ac:dyDescent="0.45">
      <c r="A234" s="2" t="s">
        <v>24</v>
      </c>
      <c r="B234" s="2" t="s">
        <v>47</v>
      </c>
      <c r="C234" s="2" t="s">
        <v>34</v>
      </c>
      <c r="D234" s="6">
        <v>1</v>
      </c>
      <c r="E234" s="6">
        <v>0</v>
      </c>
      <c r="F234" s="5">
        <v>166250</v>
      </c>
      <c r="G234" s="5">
        <v>0</v>
      </c>
      <c r="H234" s="4">
        <f>IFERROR(E234/D234,"")</f>
        <v>0</v>
      </c>
      <c r="I234" s="4">
        <f>IFERROR(G234/F234,"")</f>
        <v>0</v>
      </c>
    </row>
    <row r="235" spans="1:9" x14ac:dyDescent="0.45">
      <c r="A235" s="2" t="s">
        <v>24</v>
      </c>
      <c r="B235" s="2" t="s">
        <v>47</v>
      </c>
      <c r="C235" s="2" t="s">
        <v>35</v>
      </c>
      <c r="D235" s="6">
        <v>0</v>
      </c>
      <c r="E235" s="6">
        <v>0</v>
      </c>
      <c r="F235" s="5">
        <v>0</v>
      </c>
      <c r="G235" s="5">
        <v>0</v>
      </c>
      <c r="H235" s="4" t="str">
        <f>IFERROR(E235/D235,"")</f>
        <v/>
      </c>
      <c r="I235" s="4" t="str">
        <f>IFERROR(G235/F235,"")</f>
        <v/>
      </c>
    </row>
    <row r="236" spans="1:9" x14ac:dyDescent="0.45">
      <c r="A236" s="2" t="s">
        <v>24</v>
      </c>
      <c r="B236" s="2" t="s">
        <v>47</v>
      </c>
      <c r="C236" s="2" t="s">
        <v>36</v>
      </c>
      <c r="D236" s="6">
        <v>0</v>
      </c>
      <c r="E236" s="6">
        <v>0</v>
      </c>
      <c r="F236" s="5">
        <v>0</v>
      </c>
      <c r="G236" s="5">
        <v>0</v>
      </c>
      <c r="H236" s="4" t="str">
        <f>IFERROR(E236/D236,"")</f>
        <v/>
      </c>
      <c r="I236" s="4" t="str">
        <f>IFERROR(G236/F236,"")</f>
        <v/>
      </c>
    </row>
    <row r="237" spans="1:9" x14ac:dyDescent="0.45">
      <c r="A237" s="2" t="s">
        <v>24</v>
      </c>
      <c r="B237" s="2" t="s">
        <v>47</v>
      </c>
      <c r="C237" s="2" t="s">
        <v>37</v>
      </c>
      <c r="D237" s="6">
        <v>0</v>
      </c>
      <c r="E237" s="6">
        <v>0</v>
      </c>
      <c r="F237" s="5">
        <v>0</v>
      </c>
      <c r="G237" s="5">
        <v>0</v>
      </c>
      <c r="H237" s="4" t="str">
        <f>IFERROR(E237/D237,"")</f>
        <v/>
      </c>
      <c r="I237" s="4" t="str">
        <f>IFERROR(G237/F237,"")</f>
        <v/>
      </c>
    </row>
    <row r="238" spans="1:9" x14ac:dyDescent="0.45">
      <c r="A238" s="2" t="s">
        <v>24</v>
      </c>
      <c r="B238" s="2" t="s">
        <v>47</v>
      </c>
      <c r="C238" s="2" t="s">
        <v>38</v>
      </c>
      <c r="D238" s="6">
        <v>6</v>
      </c>
      <c r="E238" s="6">
        <v>1</v>
      </c>
      <c r="F238" s="5">
        <v>67515</v>
      </c>
      <c r="G238" s="5">
        <v>26900</v>
      </c>
      <c r="H238" s="4">
        <f>IFERROR(E238/D238,"")</f>
        <v>0.16666666666666666</v>
      </c>
      <c r="I238" s="4">
        <f>IFERROR(G238/F238,"")</f>
        <v>0.3984299785232911</v>
      </c>
    </row>
    <row r="239" spans="1:9" x14ac:dyDescent="0.45">
      <c r="A239" s="2" t="s">
        <v>24</v>
      </c>
      <c r="B239" s="2" t="s">
        <v>47</v>
      </c>
      <c r="C239" s="2" t="s">
        <v>39</v>
      </c>
      <c r="D239" s="6">
        <v>2</v>
      </c>
      <c r="E239" s="6">
        <v>0</v>
      </c>
      <c r="F239" s="5">
        <v>321645</v>
      </c>
      <c r="G239" s="5">
        <v>0</v>
      </c>
      <c r="H239" s="4">
        <f>IFERROR(E239/D239,"")</f>
        <v>0</v>
      </c>
      <c r="I239" s="4">
        <f>IFERROR(G239/F239,"")</f>
        <v>0</v>
      </c>
    </row>
    <row r="240" spans="1:9" x14ac:dyDescent="0.45">
      <c r="A240" s="2" t="s">
        <v>24</v>
      </c>
      <c r="B240" s="2" t="s">
        <v>47</v>
      </c>
      <c r="C240" s="2" t="s">
        <v>40</v>
      </c>
      <c r="D240" s="6">
        <v>0</v>
      </c>
      <c r="E240" s="6">
        <v>0</v>
      </c>
      <c r="F240" s="5">
        <v>0</v>
      </c>
      <c r="G240" s="5">
        <v>0</v>
      </c>
      <c r="H240" s="4" t="str">
        <f>IFERROR(E240/D240,"")</f>
        <v/>
      </c>
      <c r="I240" s="4" t="str">
        <f>IFERROR(G240/F240,"")</f>
        <v/>
      </c>
    </row>
    <row r="241" spans="1:9" x14ac:dyDescent="0.45">
      <c r="A241" s="2" t="s">
        <v>24</v>
      </c>
      <c r="B241" s="2" t="s">
        <v>47</v>
      </c>
      <c r="C241" s="2" t="s">
        <v>41</v>
      </c>
      <c r="D241" s="6">
        <v>0</v>
      </c>
      <c r="E241" s="6">
        <v>0</v>
      </c>
      <c r="F241" s="5">
        <v>0</v>
      </c>
      <c r="G241" s="5">
        <v>0</v>
      </c>
      <c r="H241" s="4" t="str">
        <f>IFERROR(E241/D241,"")</f>
        <v/>
      </c>
      <c r="I241" s="4" t="str">
        <f>IFERROR(G241/F241,"")</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M1</vt:lpstr>
      <vt:lpstr>M2</vt:lpstr>
      <vt:lpstr>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gop lop</dc:creator>
  <cp:lastModifiedBy>gop lop</cp:lastModifiedBy>
  <dcterms:created xsi:type="dcterms:W3CDTF">2026-04-08T11:49:42Z</dcterms:created>
  <dcterms:modified xsi:type="dcterms:W3CDTF">2026-04-08T12:24:55Z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2026-04-07T16:05:14Z</dcterms:created>
  <dc:creator>openpyxl</dc:creator>
  <dc:description/>
  <dc:language>en-US</dc:language>
  <cp:lastModifiedBy/>
  <dcterms:modified xsi:type="dcterms:W3CDTF">2026-04-07T16:05:14Z</dcterms:modified>
  <cp:revision>0</cp:revision>
  <dc:subject/>
  <dc:title/>
</cp:coreProperties>
</file>